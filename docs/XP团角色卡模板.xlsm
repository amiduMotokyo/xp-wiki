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C92FDFCA-ABC7-46A6-9963-903FFF1DAD9D}" xr6:coauthVersionLast="47" xr6:coauthVersionMax="47" xr10:uidLastSave="{00000000-0000-0000-0000-000000000000}"/>
  <bookViews>
    <workbookView xWindow="-110" yWindow="-110" windowWidth="25820" windowHeight="13900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3" l="1"/>
  <c r="AA3" i="27"/>
  <c r="G19" i="25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6" i="5"/>
  <c r="J28" i="5"/>
  <c r="AF27" i="5"/>
  <c r="U28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S9" i="1"/>
  <c r="G30" i="1" s="1"/>
  <c r="S6" i="1"/>
  <c r="S3" i="1"/>
  <c r="AH2" i="1"/>
  <c r="AF2" i="1"/>
  <c r="AD2" i="1"/>
  <c r="AB2" i="1"/>
  <c r="N14" i="1"/>
  <c r="H13" i="1" a="1"/>
  <c r="G22" i="1" a="1"/>
  <c r="H17" i="1" a="1"/>
  <c r="H20" i="1" a="1"/>
  <c r="G19" i="1" a="1"/>
  <c r="K19" i="1" a="1"/>
  <c r="H22" i="1" a="1"/>
  <c r="C26" i="1" a="1"/>
  <c r="K22" i="1" a="1"/>
  <c r="H5" i="1" a="1"/>
  <c r="H19" i="1" a="1"/>
  <c r="H11" i="1" a="1"/>
  <c r="G20" i="1" a="1"/>
  <c r="H7" i="1" a="1"/>
  <c r="H18" i="1" a="1"/>
  <c r="AA2" i="27" a="1"/>
  <c r="H9" i="1" a="1"/>
  <c r="G17" i="1" a="1"/>
  <c r="K20" i="1" a="1"/>
  <c r="K17" i="1" a="1"/>
  <c r="K18" i="1" a="1"/>
  <c r="H3" i="1" a="1"/>
  <c r="U12" i="1" a="1"/>
  <c r="G18" i="1" a="1"/>
  <c r="AA2" i="27" l="1"/>
  <c r="B18" i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Y12" i="5"/>
  <c r="S8" i="23"/>
  <c r="C22" i="5"/>
  <c r="Y19" i="5"/>
  <c r="Y9" i="5"/>
  <c r="S20" i="23"/>
  <c r="S26" i="23"/>
  <c r="Y16" i="5"/>
  <c r="Y14" i="5"/>
  <c r="Y24" i="5"/>
  <c r="Y17" i="5"/>
  <c r="S6" i="23"/>
  <c r="Y11" i="5"/>
  <c r="Y26" i="5"/>
  <c r="S4" i="23"/>
  <c r="S28" i="23"/>
  <c r="S12" i="23"/>
  <c r="C28" i="5"/>
  <c r="S14" i="23"/>
  <c r="Y23" i="5"/>
  <c r="S18" i="23"/>
  <c r="Y27" i="5"/>
  <c r="Y8" i="5"/>
  <c r="AA1" i="27" a="1"/>
  <c r="C23" i="5"/>
  <c r="Y22" i="5"/>
  <c r="S10" i="23"/>
  <c r="C21" i="5"/>
  <c r="Y4" i="5"/>
  <c r="S16" i="23"/>
  <c r="Y5" i="5"/>
  <c r="C29" i="5"/>
  <c r="Y20" i="5"/>
  <c r="C27" i="5"/>
  <c r="C20" i="5"/>
  <c r="Y13" i="5"/>
  <c r="C12" i="23"/>
  <c r="Y21" i="5"/>
  <c r="U1" i="17" a="1"/>
  <c r="C24" i="5"/>
  <c r="Y10" i="5"/>
  <c r="C25" i="5"/>
  <c r="Y28" i="5"/>
  <c r="J12" i="4" a="1"/>
  <c r="Y18" i="5"/>
  <c r="Y6" i="5"/>
  <c r="Y25" i="5"/>
  <c r="J5" i="4" a="1"/>
  <c r="Y15" i="5"/>
  <c r="S22" i="23"/>
  <c r="S24" i="23"/>
  <c r="AA1" i="27" l="1"/>
  <c r="AC27" i="5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C13" i="5"/>
  <c r="N7" i="5"/>
  <c r="C6" i="5"/>
  <c r="N8" i="5"/>
  <c r="N13" i="5"/>
  <c r="N26" i="5"/>
  <c r="N14" i="5"/>
  <c r="C7" i="5"/>
  <c r="N6" i="5"/>
  <c r="C26" i="22"/>
  <c r="N32" i="5"/>
  <c r="C10" i="5"/>
  <c r="C24" i="22"/>
  <c r="N29" i="5"/>
  <c r="N23" i="5"/>
  <c r="C22" i="22"/>
  <c r="C3" i="21"/>
  <c r="C11" i="5"/>
  <c r="C32" i="5"/>
  <c r="C18" i="22"/>
  <c r="C12" i="5"/>
  <c r="C15" i="5"/>
  <c r="C20" i="22"/>
  <c r="C5" i="5"/>
  <c r="N25" i="5"/>
  <c r="N18" i="5"/>
  <c r="C3" i="22"/>
  <c r="N19" i="5"/>
  <c r="N24" i="5"/>
  <c r="N16" i="5"/>
  <c r="C18" i="5"/>
  <c r="N33" i="5"/>
  <c r="N5" i="5"/>
  <c r="N11" i="5"/>
  <c r="N34" i="5"/>
  <c r="N9" i="5"/>
  <c r="N20" i="5"/>
  <c r="C9" i="5"/>
  <c r="T17" i="1" a="1"/>
  <c r="C16" i="5"/>
  <c r="N17" i="5"/>
  <c r="N30" i="5"/>
  <c r="N12" i="5"/>
  <c r="C17" i="5"/>
  <c r="N22" i="5"/>
  <c r="O3" i="1" a="1"/>
  <c r="Q17" i="1" a="1"/>
  <c r="C16" i="22"/>
  <c r="C31" i="5"/>
  <c r="N28" i="5"/>
  <c r="N17" i="1" a="1"/>
  <c r="B3" i="27" l="1"/>
  <c r="C3" i="27"/>
  <c r="N17" i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8" i="5"/>
  <c r="R25" i="5"/>
  <c r="V20" i="22"/>
  <c r="G7" i="5"/>
  <c r="R33" i="5"/>
  <c r="R30" i="5"/>
  <c r="R26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T15" i="1"/>
  <c r="Q15" i="1"/>
  <c r="N15" i="1"/>
  <c r="C15" i="1"/>
  <c r="C16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<sst xmlns="http://schemas.openxmlformats.org/spreadsheetml/2006/main" count="860" uniqueCount="383">
  <si>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</si>
  <si>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</si>
  <si>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</si>
  <si>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</si>
  <si>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</si>
  <si>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</si>
  <si>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</si>
  <si>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</si>
  <si>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</si>
  <si>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</si>
  <si>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</si>
  <si>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</si>
  <si>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</si>
  <si>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</si>
  <si>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</si>
  <si>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</si>
  <si>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</si>
  <si>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</si>
  <si>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</si>
  <si>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</si>
  <si>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</si>
  <si>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</si>
  <si>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</si>
  <si>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</si>
  <si>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</si>
  <si>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</si>
  <si>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</si>
  <si>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</si>
  <si>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</si>
  <si>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</si>
  <si>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</si>
  <si>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</si>
  <si>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</si>
  <si>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</si>
  <si>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</si>
  <si>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</si>
  <si>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</si>
  <si>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</si>
  <si>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</si>
  <si>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</si>
  <si>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</si>
  <si>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</si>
  <si>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</si>
  <si>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</si>
  <si>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</si>
  <si>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</si>
  <si>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</si>
  <si>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</si>
  <si>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</si>
  <si>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</si>
  <si>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</si>
  <si>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</si>
  <si>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</si>
  <si>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</si>
  <si>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</si>
  <si>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</si>
  <si>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</si>
  <si>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</si>
  <si>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</si>
  <si>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</si>
  <si>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</si>
  <si>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</si>
  <si>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</si>
  <si>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</si>
  <si>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</si>
  <si>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</si>
  <si>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</si>
  <si>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</si>
  <si>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</si>
  <si>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</si>
  <si>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</si>
  <si>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</si>
  <si>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</si>
  <si>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</si>
  <si>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</si>
  <si>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</si>
  <si>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</si>
  <si>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</si>
  <si>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</si>
  <si>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</si>
  <si>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</si>
  <si>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</si>
  <si>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</si>
  <si>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</si>
  <si>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</si>
  <si>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</si>
  <si>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</si>
  <si>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</si>
  <si>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</si>
  <si>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</si>
  <si>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</si>
  <si>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</si>
  <si>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</si>
  <si>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</si>
  <si>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</si>
  <si>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</si>
  <si>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</si>
  <si>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</si>
  <si>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</si>
  <si>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</si>
  <si>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</si>
  <si>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</si>
  <si>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</si>
  <si>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</si>
  <si>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</si>
  <si>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</si>
  <si>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</si>
  <si>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</si>
  <si>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</si>
  <si>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</si>
  <si>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</si>
  <si>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</si>
  <si>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</si>
  <si>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</si>
  <si>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</si>
  <si>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</si>
  <si>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</si>
  <si>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</si>
  <si>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</si>
  <si>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</si>
  <si>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</si>
  <si>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</si>
  <si>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</si>
  <si>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</si>
  <si>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</si>
  <si>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</si>
  <si>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</si>
  <si>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</si>
  <si>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</si>
  <si>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</si>
  <si>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</si>
  <si>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</si>
  <si>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</si>
  <si>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</si>
  <si>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</si>
  <si>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</si>
  <si>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</si>
  <si>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</si>
  <si>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</si>
  <si>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</si>
  <si>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</si>
  <si>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</si>
  <si>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</si>
  <si>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</si>
  <si>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</si>
  <si>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</si>
  <si>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</si>
  <si>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</si>
  <si>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</si>
  <si>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</si>
  <si>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</si>
  <si>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</si>
  <si>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</si>
  <si>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</si>
  <si>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</si>
  <si>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</si>
  <si>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</si>
  <si>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</si>
  <si>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</si>
  <si>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</si>
  <si>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</si>
  <si>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</si>
  <si>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</si>
  <si>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</si>
  <si>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</si>
  <si>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</si>
  <si>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</si>
  <si>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</si>
  <si>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</si>
  <si>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</si>
  <si>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</si>
  <si>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</si>
  <si>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</si>
  <si>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</si>
  <si>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</si>
  <si>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</si>
  <si>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</si>
  <si>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</si>
  <si>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</si>
  <si>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</si>
  <si>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</si>
  <si>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</si>
  <si>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</si>
  <si>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</si>
  <si>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</si>
  <si>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</si>
  <si>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</si>
  <si>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</si>
  <si>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</si>
  <si>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</si>
  <si>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</si>
  <si>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</si>
  <si>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</si>
  <si>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</si>
  <si>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</si>
  <si>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</si>
  <si>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</si>
  <si>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</si>
  <si>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</si>
  <si>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</si>
  <si>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</si>
  <si>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</si>
  <si>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</si>
  <si>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</si>
  <si>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</si>
  <si>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</si>
  <si>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</si>
  <si>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</si>
  <si>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</si>
  <si>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</si>
  <si>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</si>
  <si>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</si>
  <si>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</si>
  <si>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</si>
  <si>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</si>
  <si>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</si>
  <si>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</si>
  <si>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</si>
  <si>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</si>
  <si>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</si>
  <si>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</si>
  <si>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</si>
  <si>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</si>
  <si>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</si>
  <si>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</si>
  <si>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</si>
  <si>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</si>
  <si>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</si>
  <si>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</si>
  <si>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</si>
  <si>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</si>
  <si>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</si>
  <si>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</si>
  <si>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</si>
  <si>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</si>
  <si>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</si>
  <si>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</si>
  <si>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</si>
  <si>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</si>
  <si>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</si>
  <si>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</si>
  <si>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</si>
  <si>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</si>
  <si>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</si>
  <si>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</si>
  <si>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</si>
  <si>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</si>
  <si>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</si>
  <si>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</si>
  <si>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</si>
  <si>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</si>
  <si>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</si>
  <si>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</si>
  <si>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</si>
  <si>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</si>
  <si>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</si>
  <si>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</si>
  <si>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</si>
  <si>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</si>
  <si>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</si>
  <si>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</si>
  <si>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</si>
  <si>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</si>
  <si>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</si>
  <si>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</si>
  <si>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</si>
  <si>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</si>
  <si>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</si>
  <si>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</si>
  <si>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</si>
  <si>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</si>
  <si>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</si>
  <si>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</si>
  <si>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</si>
  <si>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</si>
  <si>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</si>
  <si>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</si>
  <si>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</si>
  <si>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</si>
  <si>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</si>
  <si>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</si>
  <si>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</si>
  <si>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</si>
  <si>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</si>
  <si>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</si>
  <si>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蹲伏态势</t>
  </si>
  <si>
    <t>立刻进入潜行状态（若有“遁影”技能则进入隐身状态）</t>
  </si>
  <si>
    <t>坚守态势</t>
  </si>
  <si>
    <t>反击态势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</si>
  <si>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</si>
  <si>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</si>
  <si>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</si>
  <si>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</si>
  <si>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</si>
  <si>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</si>
  <si>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</si>
  <si>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</si>
  <si>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</si>
  <si>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</si>
  <si>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</si>
  <si>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</si>
  <si>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</si>
  <si>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</si>
  <si>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</si>
  <si>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</si>
  <si>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</si>
  <si>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</si>
  <si>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</si>
  <si>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</si>
  <si>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</si>
  <si>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</si>
  <si>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</si>
  <si>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</si>
  <si>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</si>
  <si>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</si>
  <si>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</si>
  <si>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</si>
  <si>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</si>
  <si>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</si>
  <si>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</si>
  <si>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职业名称</t>
  </si>
  <si>
    <t>职业等级</t>
  </si>
  <si>
    <t>总部地址</t>
  </si>
  <si>
    <t>天狗国-飞津-大河原城</t>
  </si>
  <si>
    <t>武者</t>
  </si>
  <si>
    <t>长柄刀、搬运、缴械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</si>
  <si>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</si>
  <si>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</si>
  <si>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</si>
  <si>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</si>
  <si>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</si>
  <si>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</si>
  <si>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</si>
  <si>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</si>
  <si>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</si>
  <si>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</si>
  <si>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</si>
  <si>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</si>
  <si>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</si>
  <si>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</si>
  <si>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</si>
  <si>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</si>
  <si>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</si>
  <si>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</si>
  <si>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</si>
  <si>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</si>
  <si>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</si>
  <si>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</si>
  <si>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</si>
  <si>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</si>
  <si>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</si>
  <si>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</si>
  <si>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</si>
  <si>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</si>
  <si>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</si>
  <si>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</si>
  <si>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武者职业升到4级</t>
    <phoneticPr fontId="47" type="noConversion"/>
  </si>
  <si>
    <t>武士</t>
  </si>
  <si>
    <t>武士</t>
    <phoneticPr fontId="47" type="noConversion"/>
  </si>
  <si>
    <t>长柄刀、搬运、抵抗、攀爬</t>
    <phoneticPr fontId="47" type="noConversion"/>
  </si>
  <si>
    <t>继承武者的职业特性；自带“卧薪尝胆”技能，且此技能对所有武器都生效。</t>
    <phoneticPr fontId="47" type="noConversion"/>
  </si>
  <si>
    <t>基础资金</t>
    <phoneticPr fontId="47" type="noConversion"/>
  </si>
  <si>
    <t>社群等级</t>
    <phoneticPr fontId="47" type="noConversion"/>
  </si>
  <si>
    <t>消费水平</t>
    <phoneticPr fontId="47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</si>
  <si>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47" type="noConversion"/>
  </si>
  <si>
    <t>亲手干掉一名敌人之后，本行动轮和下行动轮内全身护甲值+1，伤害+2</t>
    <phoneticPr fontId="47" type="noConversion"/>
  </si>
  <si>
    <t>若攻击处于长距离武器惩罚范围内的敌人，可用武器威力减半代替进攻阈值减半
可以套上刀鞘，将造成伤害的一半转化为sp伤害，可花费1行动点切换</t>
    <phoneticPr fontId="47" type="noConversion"/>
  </si>
  <si>
    <t>进行冲锋前你可以进行移动
一行动轮中，你每多进行一次冲锋，冲锋前就要多花费1行动点进行蓄势</t>
    <phoneticPr fontId="47" type="noConversion"/>
  </si>
  <si>
    <t>投入3点行动点，下行动轮你的第一次能够造成伤害的攻击阈值附加战术奖励</t>
  </si>
  <si>
    <t>下行动轮你的第一次能够造成伤害的攻击伤害变为1.5倍</t>
  </si>
  <si>
    <t>下行动轮你的进攻阈值衰减速度减半</t>
  </si>
  <si>
    <t>下行动轮你无视一切增加移动消耗的效果</t>
  </si>
  <si>
    <t>投入3点行动点，到下行动轮你的行动开始为止，你对抗远程攻击附加战术奖励</t>
  </si>
  <si>
    <t>你可以花费1行动点蹲下（并非蹲伏姿态），来获得将半掩体视为全掩体的效果，不结束行动轮，但无法移动，可以再花费1行动点起身</t>
  </si>
  <si>
    <t>投入3点行动点，到下行动轮你的行动开始为止，你的防御检定附加战术奖励</t>
  </si>
  <si>
    <t>到下行动轮你的行动开始为止，你的防守阈值衰减速度减半</t>
  </si>
  <si>
    <t>到下行动轮你的行动开始为止，你无法被位移，获得一次抵消昏迷/致命伤/致伤的机会</t>
  </si>
  <si>
    <t>到下行动轮你的行动开始为止，你的反击机会提到对方进攻之前</t>
  </si>
  <si>
    <t>到下行动轮你的行动开始为止，你的反击不算阈值衰减</t>
  </si>
  <si>
    <t>到下行动轮你的行动开始为止，只要对方攻击失败，你就能立刻多反击一次</t>
  </si>
  <si>
    <t>每行动轮多2次进入子弹时间的机会；每行动轮获得额外2点只可用于敌意行动的行动点。</t>
    <phoneticPr fontId="47" type="noConversion"/>
  </si>
  <si>
    <t>到下行动轮你的行动开始为止，你可以代替你周围4格内的友方角色进行防御检定以及承伤</t>
    <phoneticPr fontId="47" type="noConversion"/>
  </si>
  <si>
    <t xml:space="preserve">  投入3点行动点，到下行动轮你的行动开始为止，受到对方攻击后，立刻获得一次免行动点的攻击机会（算衰减），且本次进攻阈值附加战术奖励，每行动轮一次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</si>
</sst>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family val="3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family val="3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31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8" fillId="0" borderId="33" xfId="1" applyFont="1" applyBorder="1" applyAlignment="1">
      <alignment horizontal="righ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176" fontId="0" fillId="0" borderId="35" xfId="0" applyNumberFormat="1" applyBorder="1" applyAlignment="1">
      <alignment horizontal="center"/>
    </xf>
    <xf numFmtId="0" fontId="6" fillId="0" borderId="16" xfId="1" applyFont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22" fillId="0" borderId="34" xfId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10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31" fillId="0" borderId="33" xfId="1" applyFont="1" applyBorder="1" applyAlignment="1">
      <alignment horizontal="center" vertic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 wrapText="1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40" fillId="0" borderId="0" xfId="0" applyFont="1" applyAlignment="1">
      <alignment horizontal="left" vertical="top" wrapText="1"/>
    </xf>
    <xf numFmtId="0" fontId="0" fillId="0" borderId="5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6E46BF-DBE5-47DD-A57B-3DA80AD1D41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21B01F3-971F-4A14-BA05-925C14BF833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3FE58A89-0E0F-47C5-9415-3C8F67D251F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8FCD3F4-2914-44B8-8057-4A6183B3C24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BF229560-8848-4CFB-BD82-BDACB2C6447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51ABF67-B1EA-4F04-AE11-7AAC9D50954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4A781FE-7E7B-42C8-8ADE-8524D201424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23CC39D-3BD4-4BDF-9EB3-2487AA818F5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E47E4E40-7E7E-4135-A9AE-876B3D446C1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8AB6E2F-7BC0-416E-A968-5BA197E9ECF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6511C92-DE23-448C-A3A4-5443FA7475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127655D-4D71-4386-9A68-9042EED013C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5AB5754E-6870-469B-9CD2-BB82E7EBCC7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D346974-4C9E-4C77-B373-BB5BCB40BC0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79AC15C7-3150-4F86-9A19-76CEF8801529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3E1BE08-9223-4FE4-8EFE-246A84AD94F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EB0AC3F-77A7-4E0A-8E6E-2F9CF91F2CE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87D8AD5F-882E-4C23-A80C-B9A17631189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7BD724C-4AE0-4A5A-B1B7-0452E2CC8CC4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02CFFC-BC08-4A90-8455-E31D5F6DB2B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AC3622F-95C3-4D21-80CC-92CED2E658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88DBE72-1C16-488C-9EB7-3D43744019F7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7FB4FA6-A604-4C47-80E3-28A1AF68257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5683C56-1118-4091-A23D-80C179C11265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9E883AC-F2B5-43D7-9517-3DF97E65301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CD68FD4-FB81-4690-B2A9-FA4D8CC6653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D8183671-C60F-4D86-864A-86B12CEE0324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C4FB05C-62C8-4231-85FA-7A6358B8B9A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E430CB54-06E7-44AB-87C0-9E3583A316B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1F5B277-25BA-473A-930C-282623E0282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AEA6390-1F44-401A-BE30-280DF3560E7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54B00104-6D6D-4131-A16C-03A696BE63FB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917DE55-E275-44FC-84AA-CD020C98CB4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95563BA-77A5-4F27-B74A-C45405C7A2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410A72F-B957-400D-961F-2F25E5930C8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B2057FB6-7FE5-4CFA-BB4A-4CCF8EC303D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B2D7886-E12A-4256-8CE3-5F45C4D6AF5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7C21815-2D46-46F8-A1FF-C19D851A081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39722FAB-0A2C-4C05-A44E-E6EF43474A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AF38CE5-3E20-48B1-AFBC-6490FE71DA8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52C9A71-0E43-4277-A315-6677BDB16AB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78B508-E28F-4192-985F-F3FACD026A4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997C2EA-2B4A-4E33-A53F-70318917A43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112196B-B1FE-4111-9952-ECE43F7BD37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A5CF608B-6BAD-4618-8084-2DEF77C1D77A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1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1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4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/>
  <cols>
    <col min="1" max="4" width="9.75" customWidth="1"/>
    <col min="6" max="6" width="10.75" customWidth="1"/>
    <col min="11" max="11" width="12.75" customWidth="1"/>
    <col min="14" max="14" width="8.9140625" customWidth="1"/>
    <col min="17" max="17" width="8.9140625" customWidth="1"/>
    <col min="20" max="20" width="8.9140625" customWidth="1"/>
    <col min="24" max="24" width="8.9140625" customWidth="1"/>
  </cols>
  <sheetData>
    <row r="1" spans="1:39" ht="20.399999999999999" customHeight="1">
      <c r="A1" s="70" t="s">
        <v>0</v>
      </c>
      <c r="B1" s="70"/>
      <c r="C1" s="70"/>
      <c r="D1" s="70"/>
      <c r="F1" s="71" t="s">
        <v>1</v>
      </c>
      <c r="G1" s="71"/>
      <c r="H1" s="71"/>
      <c r="I1" s="71"/>
      <c r="J1" s="71"/>
      <c r="K1" s="71"/>
      <c r="M1" s="72" t="s">
        <v>2</v>
      </c>
      <c r="N1" s="72"/>
      <c r="O1" s="72"/>
      <c r="P1" s="72"/>
      <c r="Q1" s="72"/>
      <c r="R1" s="73"/>
      <c r="S1" s="73"/>
      <c r="T1" s="73"/>
      <c r="U1" s="73"/>
      <c r="V1" s="21"/>
      <c r="X1" s="69"/>
      <c r="Y1" s="65"/>
      <c r="Z1" s="64" t="s">
        <v>3</v>
      </c>
      <c r="AA1" s="65"/>
      <c r="AB1" s="64" t="s">
        <v>4</v>
      </c>
      <c r="AC1" s="65"/>
      <c r="AD1" s="64" t="s">
        <v>5</v>
      </c>
      <c r="AE1" s="65"/>
      <c r="AF1" s="64" t="s">
        <v>6</v>
      </c>
      <c r="AG1" s="65"/>
      <c r="AH1" s="64" t="s">
        <v>7</v>
      </c>
      <c r="AI1" s="65"/>
      <c r="AJ1" s="64" t="s">
        <v>8</v>
      </c>
      <c r="AK1" s="66"/>
    </row>
    <row r="2" spans="1:39" ht="20.399999999999999" customHeight="1">
      <c r="A2" s="14" t="s">
        <v>9</v>
      </c>
      <c r="B2" s="67" t="s">
        <v>10</v>
      </c>
      <c r="C2" s="67"/>
      <c r="D2" s="67"/>
      <c r="F2" s="107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68" t="s">
        <v>17</v>
      </c>
      <c r="N2" s="68"/>
      <c r="O2" s="68"/>
      <c r="P2" s="68" t="s">
        <v>18</v>
      </c>
      <c r="Q2" s="68"/>
      <c r="R2" s="68"/>
      <c r="S2" s="68" t="s">
        <v>19</v>
      </c>
      <c r="T2" s="68"/>
      <c r="U2" s="68"/>
      <c r="V2" s="59"/>
      <c r="X2" s="69" t="s">
        <v>20</v>
      </c>
      <c r="Y2" s="65"/>
      <c r="Z2" s="64">
        <v>51</v>
      </c>
      <c r="AA2" s="65"/>
      <c r="AB2" s="64">
        <f>SUMIFS(Z11:AA90,AH11:AI90,AH10)</f>
        <v>30</v>
      </c>
      <c r="AC2" s="65"/>
      <c r="AD2" s="64">
        <f>SUMIFS(AB11:AC90,AH11:AI90,AH10)</f>
        <v>2</v>
      </c>
      <c r="AE2" s="65"/>
      <c r="AF2" s="64">
        <f>SUMIFS(AD11:AE90,AH11:AI90,AH10)</f>
        <v>-30</v>
      </c>
      <c r="AG2" s="65"/>
      <c r="AH2" s="64">
        <f>SUMIFS(AF11:AG90,AH11:AI90,AH10)</f>
        <v>0.5</v>
      </c>
      <c r="AI2" s="65"/>
      <c r="AJ2" s="64">
        <v>0</v>
      </c>
      <c r="AK2" s="66"/>
      <c r="AL2" s="74"/>
      <c r="AM2" s="74"/>
    </row>
    <row r="3" spans="1:39" ht="20.399999999999999" customHeight="1">
      <c r="A3" s="14" t="s">
        <v>21</v>
      </c>
      <c r="B3" s="67" t="s">
        <v>22</v>
      </c>
      <c r="C3" s="67"/>
      <c r="D3" s="67"/>
      <c r="F3" s="108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75" t="s">
        <v>24</v>
      </c>
      <c r="Y3" s="76"/>
      <c r="Z3" s="77" t="s">
        <v>25</v>
      </c>
      <c r="AA3" s="78"/>
      <c r="AB3" s="78"/>
      <c r="AC3" s="78"/>
      <c r="AD3" s="78"/>
      <c r="AE3" s="79"/>
      <c r="AF3" s="77" t="s">
        <v>26</v>
      </c>
      <c r="AG3" s="78"/>
      <c r="AH3" s="78"/>
      <c r="AI3" s="78"/>
      <c r="AJ3" s="78"/>
      <c r="AK3" s="80"/>
      <c r="AL3" s="74"/>
      <c r="AM3" s="74"/>
    </row>
    <row r="4" spans="1:39" ht="20.399999999999999" customHeight="1">
      <c r="A4" s="14" t="s">
        <v>27</v>
      </c>
      <c r="B4" s="12" t="s">
        <v>28</v>
      </c>
      <c r="C4" s="14" t="s">
        <v>29</v>
      </c>
      <c r="D4" s="12" t="s">
        <v>30</v>
      </c>
      <c r="F4" s="109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81" t="s">
        <v>32</v>
      </c>
      <c r="N4" s="82"/>
      <c r="O4" s="82"/>
      <c r="P4" s="82"/>
      <c r="Q4" s="82"/>
      <c r="R4" s="73"/>
      <c r="S4" s="73"/>
      <c r="T4" s="73"/>
      <c r="U4" s="73"/>
      <c r="V4" s="21"/>
      <c r="AJ4" s="74"/>
      <c r="AK4" s="74"/>
    </row>
    <row r="5" spans="1:39" ht="20.399999999999999" customHeight="1">
      <c r="A5" s="14" t="s">
        <v>33</v>
      </c>
      <c r="B5" s="12">
        <v>387</v>
      </c>
      <c r="C5" s="14" t="s">
        <v>34</v>
      </c>
      <c r="D5" s="12" t="s">
        <v>35</v>
      </c>
      <c r="F5" s="110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68" t="s">
        <v>17</v>
      </c>
      <c r="N5" s="68"/>
      <c r="O5" s="68"/>
      <c r="P5" s="68" t="s">
        <v>18</v>
      </c>
      <c r="Q5" s="68"/>
      <c r="R5" s="68"/>
      <c r="S5" s="68" t="s">
        <v>19</v>
      </c>
      <c r="T5" s="68"/>
      <c r="U5" s="68"/>
      <c r="V5" s="59"/>
      <c r="AJ5" s="74"/>
      <c r="AK5" s="74"/>
    </row>
    <row r="6" spans="1:39" ht="20.399999999999999" customHeight="1">
      <c r="A6" s="14" t="s">
        <v>36</v>
      </c>
      <c r="B6" s="12" t="s">
        <v>37</v>
      </c>
      <c r="C6" s="14" t="s">
        <v>38</v>
      </c>
      <c r="D6" s="12" t="s">
        <v>39</v>
      </c>
      <c r="F6" s="111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74"/>
      <c r="AK6" s="74"/>
    </row>
    <row r="7" spans="1:39" ht="20.399999999999999" customHeight="1">
      <c r="A7" s="14" t="s">
        <v>41</v>
      </c>
      <c r="B7" s="67" t="s">
        <v>42</v>
      </c>
      <c r="C7" s="67"/>
      <c r="D7" s="67"/>
      <c r="F7" s="112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83" t="s">
        <v>43</v>
      </c>
      <c r="N7" s="84"/>
      <c r="O7" s="84"/>
      <c r="P7" s="84"/>
      <c r="Q7" s="84"/>
      <c r="R7" s="73"/>
      <c r="S7" s="73"/>
      <c r="T7" s="73"/>
      <c r="U7" s="73"/>
      <c r="V7" s="21"/>
      <c r="AJ7" s="74"/>
      <c r="AK7" s="74"/>
    </row>
    <row r="8" spans="1:39" ht="20.399999999999999" customHeight="1">
      <c r="A8" s="14" t="s">
        <v>44</v>
      </c>
      <c r="B8" s="67" t="s">
        <v>45</v>
      </c>
      <c r="C8" s="67"/>
      <c r="D8" s="67"/>
      <c r="F8" s="113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68" t="s">
        <v>17</v>
      </c>
      <c r="N8" s="68"/>
      <c r="O8" s="68"/>
      <c r="P8" s="68" t="s">
        <v>47</v>
      </c>
      <c r="Q8" s="68"/>
      <c r="R8" s="68"/>
      <c r="S8" s="68" t="s">
        <v>19</v>
      </c>
      <c r="T8" s="68"/>
      <c r="U8" s="68"/>
      <c r="V8" s="59"/>
      <c r="X8" s="86" t="s">
        <v>48</v>
      </c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89"/>
    </row>
    <row r="9" spans="1:39" ht="20.399999999999999" customHeight="1">
      <c r="A9" s="101" t="s">
        <v>49</v>
      </c>
      <c r="B9" s="118" t="s">
        <v>364</v>
      </c>
      <c r="C9" s="118"/>
      <c r="D9" s="118"/>
      <c r="F9" s="114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86"/>
      <c r="Y9" s="87"/>
      <c r="Z9" s="88" t="s">
        <v>50</v>
      </c>
      <c r="AA9" s="87"/>
      <c r="AB9" s="88" t="s">
        <v>51</v>
      </c>
      <c r="AC9" s="87"/>
      <c r="AD9" s="88" t="s">
        <v>52</v>
      </c>
      <c r="AE9" s="87"/>
      <c r="AF9" s="88" t="s">
        <v>53</v>
      </c>
      <c r="AG9" s="87"/>
      <c r="AH9" s="88" t="s">
        <v>54</v>
      </c>
      <c r="AI9" s="89"/>
    </row>
    <row r="10" spans="1:39" ht="20.399999999999999" customHeight="1">
      <c r="A10" s="102"/>
      <c r="B10" s="119"/>
      <c r="C10" s="119"/>
      <c r="D10" s="119"/>
      <c r="F10" s="115" t="s">
        <v>55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86" t="s">
        <v>56</v>
      </c>
      <c r="Y10" s="87"/>
      <c r="Z10" s="88">
        <v>0</v>
      </c>
      <c r="AA10" s="87"/>
      <c r="AB10" s="88">
        <v>0</v>
      </c>
      <c r="AC10" s="87"/>
      <c r="AD10" s="88">
        <v>0</v>
      </c>
      <c r="AE10" s="87"/>
      <c r="AF10" s="88">
        <v>0</v>
      </c>
      <c r="AG10" s="87"/>
      <c r="AH10" s="88" t="s">
        <v>57</v>
      </c>
      <c r="AI10" s="89"/>
    </row>
    <row r="11" spans="1:39" ht="20.399999999999999" customHeight="1">
      <c r="A11" s="102"/>
      <c r="B11" s="119"/>
      <c r="C11" s="119"/>
      <c r="D11" s="119"/>
      <c r="F11" s="116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85" t="s">
        <v>58</v>
      </c>
      <c r="N11" s="85"/>
      <c r="O11" s="85"/>
      <c r="P11" s="85"/>
      <c r="Q11" s="85"/>
      <c r="R11" s="85"/>
      <c r="S11" s="85"/>
      <c r="T11" s="85"/>
      <c r="U11" s="85"/>
      <c r="V11" s="28"/>
      <c r="W11" s="97" t="s">
        <v>59</v>
      </c>
      <c r="X11" s="86" t="s">
        <v>60</v>
      </c>
      <c r="Y11" s="87"/>
      <c r="Z11" s="88"/>
      <c r="AA11" s="87"/>
      <c r="AB11" s="88"/>
      <c r="AC11" s="87"/>
      <c r="AD11" s="88"/>
      <c r="AE11" s="87"/>
      <c r="AF11" s="88"/>
      <c r="AG11" s="87"/>
      <c r="AH11" s="88"/>
      <c r="AI11" s="89"/>
    </row>
    <row r="12" spans="1:39" ht="20.399999999999999" customHeight="1">
      <c r="A12" s="103"/>
      <c r="B12" s="120"/>
      <c r="C12" s="120"/>
      <c r="D12" s="120"/>
      <c r="F12" s="117" t="s">
        <v>61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91" t="s">
        <v>62</v>
      </c>
      <c r="N12" s="91"/>
      <c r="O12" s="91"/>
      <c r="P12" s="100" t="s">
        <v>63</v>
      </c>
      <c r="Q12" s="100"/>
      <c r="R12" s="100"/>
      <c r="S12" s="91" t="s">
        <v>64</v>
      </c>
      <c r="T12" s="91"/>
      <c r="U12" s="56">
        <f t="array" aca="1" ref="U12" ca="1">IF(P12=INDIRECT("武器"&amp;"!G3"),INDIRECT("武器"&amp;"!G5"),INDIRECT("武器"&amp;"!G12"))</f>
        <v>8</v>
      </c>
      <c r="V12" s="60"/>
      <c r="W12" s="98"/>
      <c r="X12" s="86" t="s">
        <v>65</v>
      </c>
      <c r="Y12" s="87"/>
      <c r="Z12" s="88"/>
      <c r="AA12" s="87"/>
      <c r="AB12" s="88"/>
      <c r="AC12" s="87"/>
      <c r="AD12" s="88"/>
      <c r="AE12" s="87"/>
      <c r="AF12" s="88"/>
      <c r="AG12" s="87"/>
      <c r="AH12" s="88"/>
      <c r="AI12" s="89"/>
    </row>
    <row r="13" spans="1:39" ht="20.399999999999999" customHeight="1">
      <c r="A13" s="70" t="s">
        <v>66</v>
      </c>
      <c r="B13" s="70"/>
      <c r="C13" s="70"/>
      <c r="D13" s="70"/>
      <c r="F13" s="117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91" t="s">
        <v>67</v>
      </c>
      <c r="N13" s="91"/>
      <c r="O13" s="91"/>
      <c r="P13" s="91" t="s">
        <v>68</v>
      </c>
      <c r="Q13" s="91"/>
      <c r="R13" s="91"/>
      <c r="S13" s="91" t="s">
        <v>69</v>
      </c>
      <c r="T13" s="91"/>
      <c r="U13" s="91"/>
      <c r="V13" s="10"/>
      <c r="W13" s="98"/>
      <c r="X13" s="86" t="s">
        <v>70</v>
      </c>
      <c r="Y13" s="87"/>
      <c r="Z13" s="88">
        <v>15</v>
      </c>
      <c r="AA13" s="87"/>
      <c r="AB13" s="88">
        <v>1</v>
      </c>
      <c r="AC13" s="87"/>
      <c r="AD13" s="88">
        <v>-15</v>
      </c>
      <c r="AE13" s="87"/>
      <c r="AF13" s="88">
        <v>0</v>
      </c>
      <c r="AG13" s="87"/>
      <c r="AH13" s="88" t="s">
        <v>57</v>
      </c>
      <c r="AI13" s="89"/>
    </row>
    <row r="14" spans="1:39" ht="20.399999999999999" customHeight="1">
      <c r="A14" s="14" t="s">
        <v>71</v>
      </c>
      <c r="B14" s="14" t="s">
        <v>72</v>
      </c>
      <c r="C14" s="92" t="s">
        <v>73</v>
      </c>
      <c r="D14" s="92"/>
      <c r="M14" s="55" t="s">
        <v>74</v>
      </c>
      <c r="N14" s="93" t="str">
        <f ca="1">IF(P12=INDIRECT("武器"&amp;"!G3"),INDIRECT("武器"&amp;"!J3"),INDIRECT("武器"&amp;"!J10"))</f>
        <v>长柄刀</v>
      </c>
      <c r="O14" s="93"/>
      <c r="P14" s="55" t="s">
        <v>74</v>
      </c>
      <c r="Q14" s="93" t="s">
        <v>75</v>
      </c>
      <c r="R14" s="93"/>
      <c r="S14" s="55" t="s">
        <v>74</v>
      </c>
      <c r="T14" s="93" t="s">
        <v>76</v>
      </c>
      <c r="U14" s="93"/>
      <c r="V14" s="61"/>
      <c r="W14" s="98"/>
      <c r="X14" s="86" t="s">
        <v>77</v>
      </c>
      <c r="Y14" s="87"/>
      <c r="Z14" s="88"/>
      <c r="AA14" s="87"/>
      <c r="AB14" s="88"/>
      <c r="AC14" s="87"/>
      <c r="AD14" s="88"/>
      <c r="AE14" s="87"/>
      <c r="AF14" s="88"/>
      <c r="AG14" s="87"/>
      <c r="AH14" s="88"/>
      <c r="AI14" s="89"/>
    </row>
    <row r="15" spans="1:39" ht="20.399999999999999" customHeight="1">
      <c r="A15" s="12" t="s">
        <v>78</v>
      </c>
      <c r="B15" s="12" t="s">
        <v>79</v>
      </c>
      <c r="C15" s="94">
        <f ca="1">VLOOKUP(B15,INDIRECT("各种技能"&amp;"!A5:G32"),7,FALSE)</f>
        <v>41</v>
      </c>
      <c r="D15" s="94"/>
      <c r="F15" s="70" t="s">
        <v>80</v>
      </c>
      <c r="G15" s="70"/>
      <c r="H15" s="70"/>
      <c r="I15" s="70"/>
      <c r="J15" s="70"/>
      <c r="K15" s="70"/>
      <c r="M15" s="57" t="s">
        <v>81</v>
      </c>
      <c r="N15" s="95">
        <f ca="1">VLOOKUP(N14,INDIRECT("各种技能"&amp;"!L5:R32"),7,FALSE)</f>
        <v>50.7</v>
      </c>
      <c r="O15" s="95"/>
      <c r="P15" s="57" t="s">
        <v>81</v>
      </c>
      <c r="Q15" s="95">
        <f ca="1">VLOOKUP(Q14,INDIRECT("各种技能"&amp;"!A5:J32"),7,FALSE)</f>
        <v>50.7</v>
      </c>
      <c r="R15" s="95"/>
      <c r="S15" s="57" t="s">
        <v>81</v>
      </c>
      <c r="T15" s="95">
        <f ca="1">VLOOKUP(T14,INDIRECT("各种技能"&amp;"!A5:J32"),7,FALSE)</f>
        <v>50.7</v>
      </c>
      <c r="U15" s="95"/>
      <c r="V15" s="62"/>
      <c r="W15" s="98"/>
      <c r="X15" s="86" t="s">
        <v>82</v>
      </c>
      <c r="Y15" s="87"/>
      <c r="Z15" s="88"/>
      <c r="AA15" s="87"/>
      <c r="AB15" s="88"/>
      <c r="AC15" s="87"/>
      <c r="AD15" s="88"/>
      <c r="AE15" s="87"/>
      <c r="AF15" s="88"/>
      <c r="AG15" s="87"/>
      <c r="AH15" s="88"/>
      <c r="AI15" s="89"/>
    </row>
    <row r="16" spans="1:39" ht="20.399999999999999" customHeight="1">
      <c r="A16" s="12" t="s">
        <v>83</v>
      </c>
      <c r="B16" s="12" t="s">
        <v>84</v>
      </c>
      <c r="C16" s="94">
        <f ca="1">VLOOKUP(B16,INDIRECT("各种技能"&amp;"!L5:R32"),7,FALSE)</f>
        <v>50.7</v>
      </c>
      <c r="D16" s="94"/>
      <c r="F16" s="41" t="s">
        <v>85</v>
      </c>
      <c r="G16" s="41" t="s">
        <v>86</v>
      </c>
      <c r="H16" s="41" t="s">
        <v>87</v>
      </c>
      <c r="I16" s="41" t="s">
        <v>88</v>
      </c>
      <c r="J16" s="41" t="s">
        <v>23</v>
      </c>
      <c r="K16" s="41" t="s">
        <v>89</v>
      </c>
      <c r="M16" s="58" t="s">
        <v>90</v>
      </c>
      <c r="N16" s="93"/>
      <c r="O16" s="93"/>
      <c r="P16" s="58" t="s">
        <v>90</v>
      </c>
      <c r="Q16" s="93"/>
      <c r="R16" s="93"/>
      <c r="S16" s="58" t="s">
        <v>90</v>
      </c>
      <c r="T16" s="93"/>
      <c r="U16" s="93"/>
      <c r="V16" s="61"/>
      <c r="W16" s="98"/>
      <c r="X16" s="86" t="s">
        <v>91</v>
      </c>
      <c r="Y16" s="87"/>
      <c r="Z16" s="88">
        <v>15</v>
      </c>
      <c r="AA16" s="87"/>
      <c r="AB16" s="88">
        <v>1</v>
      </c>
      <c r="AC16" s="87"/>
      <c r="AD16" s="88">
        <v>-15</v>
      </c>
      <c r="AE16" s="87"/>
      <c r="AF16" s="88">
        <v>0.5</v>
      </c>
      <c r="AG16" s="87"/>
      <c r="AH16" s="88" t="s">
        <v>57</v>
      </c>
      <c r="AI16" s="89"/>
    </row>
    <row r="17" spans="1:35" ht="20.399999999999999" customHeight="1">
      <c r="A17" s="39" t="s">
        <v>92</v>
      </c>
      <c r="B17" s="96" t="s">
        <v>357</v>
      </c>
      <c r="C17" s="96"/>
      <c r="D17" s="96"/>
      <c r="F17" s="42" t="s">
        <v>93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94</v>
      </c>
      <c r="N17" s="95">
        <f t="array" aca="1" ref="N17" ca="1">IF(P12=INDIRECT("武器"&amp;"!G3"),INDIRECT("武器"&amp;"!J5"),INDIRECT("武器"&amp;"!J12"))</f>
        <v>16</v>
      </c>
      <c r="O17" s="95"/>
      <c r="P17" s="57" t="s">
        <v>94</v>
      </c>
      <c r="Q17" s="95">
        <f t="array" aca="1" ref="Q17" ca="1">INDIRECT("防具"&amp;"!U1")</f>
        <v>8</v>
      </c>
      <c r="R17" s="95"/>
      <c r="S17" s="57" t="s">
        <v>94</v>
      </c>
      <c r="T17" s="95">
        <f t="array" aca="1" ref="T17" ca="1">INDIRECT("防具"&amp;"!U1")</f>
        <v>8</v>
      </c>
      <c r="U17" s="95"/>
      <c r="V17" s="62"/>
      <c r="W17" s="98"/>
      <c r="X17" s="86" t="s">
        <v>95</v>
      </c>
      <c r="Y17" s="87"/>
      <c r="Z17" s="88"/>
      <c r="AA17" s="87"/>
      <c r="AB17" s="88"/>
      <c r="AC17" s="87"/>
      <c r="AD17" s="88"/>
      <c r="AE17" s="87"/>
      <c r="AF17" s="88"/>
      <c r="AG17" s="87"/>
      <c r="AH17" s="88"/>
      <c r="AI17" s="89"/>
    </row>
    <row r="18" spans="1:35" ht="20.399999999999999" customHeight="1">
      <c r="A18" s="104" t="s">
        <v>96</v>
      </c>
      <c r="B18" s="121" t="str">
        <f>VLOOKUP(B17,A42:C51,2,FALSE)</f>
        <v>长柄刀、搬运、抵抗、攀爬</v>
      </c>
      <c r="C18" s="121"/>
      <c r="D18" s="121"/>
      <c r="F18" s="42" t="s">
        <v>97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90</v>
      </c>
      <c r="N18" s="93"/>
      <c r="O18" s="93"/>
      <c r="P18" s="58" t="s">
        <v>90</v>
      </c>
      <c r="Q18" s="93"/>
      <c r="R18" s="93"/>
      <c r="S18" s="58" t="s">
        <v>90</v>
      </c>
      <c r="T18" s="93"/>
      <c r="U18" s="93"/>
      <c r="V18" s="61"/>
      <c r="W18" s="98"/>
      <c r="X18" s="86" t="s">
        <v>98</v>
      </c>
      <c r="Y18" s="87"/>
      <c r="Z18" s="88"/>
      <c r="AA18" s="87"/>
      <c r="AB18" s="88"/>
      <c r="AC18" s="87"/>
      <c r="AD18" s="88"/>
      <c r="AE18" s="87"/>
      <c r="AF18" s="88"/>
      <c r="AG18" s="87"/>
      <c r="AH18" s="88"/>
      <c r="AI18" s="89"/>
    </row>
    <row r="19" spans="1:35" ht="20.399999999999999" customHeight="1">
      <c r="A19" s="105"/>
      <c r="B19" s="122"/>
      <c r="C19" s="122"/>
      <c r="D19" s="122"/>
      <c r="F19" s="42" t="s">
        <v>99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100</v>
      </c>
      <c r="N19" s="95">
        <v>0</v>
      </c>
      <c r="O19" s="95"/>
      <c r="P19" s="58" t="s">
        <v>100</v>
      </c>
      <c r="Q19" s="95">
        <v>0</v>
      </c>
      <c r="R19" s="95"/>
      <c r="S19" s="58" t="s">
        <v>100</v>
      </c>
      <c r="T19" s="95">
        <v>0</v>
      </c>
      <c r="U19" s="95"/>
      <c r="V19" s="62"/>
      <c r="W19" s="99"/>
      <c r="X19" s="86" t="s">
        <v>101</v>
      </c>
      <c r="Y19" s="87"/>
      <c r="Z19" s="88"/>
      <c r="AA19" s="87"/>
      <c r="AB19" s="88"/>
      <c r="AC19" s="87"/>
      <c r="AD19" s="88"/>
      <c r="AE19" s="87"/>
      <c r="AF19" s="88"/>
      <c r="AG19" s="87"/>
      <c r="AH19" s="88"/>
      <c r="AI19" s="89"/>
    </row>
    <row r="20" spans="1:35" ht="20.399999999999999" customHeight="1">
      <c r="A20" s="106"/>
      <c r="B20" s="123"/>
      <c r="C20" s="123"/>
      <c r="D20" s="123"/>
      <c r="F20" s="42" t="s">
        <v>102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103</v>
      </c>
      <c r="N20" s="95">
        <f ca="1">IF(N18=0,N17*N19,N19*N18)</f>
        <v>0</v>
      </c>
      <c r="O20" s="95"/>
      <c r="P20" s="58" t="s">
        <v>103</v>
      </c>
      <c r="Q20" s="95">
        <f ca="1">IF(Q18=0,Q17*Q19,Q18*Q19)</f>
        <v>0</v>
      </c>
      <c r="R20" s="95"/>
      <c r="S20" s="58" t="s">
        <v>103</v>
      </c>
      <c r="T20" s="95">
        <f ca="1">IF(T18=0,T17*T19,T18*T19)</f>
        <v>0</v>
      </c>
      <c r="U20" s="95"/>
      <c r="V20" s="62"/>
    </row>
    <row r="21" spans="1:35" ht="20.399999999999999" customHeight="1">
      <c r="A21" s="101" t="s">
        <v>104</v>
      </c>
      <c r="B21" s="124" t="str">
        <f>VLOOKUP(B17,A42:D51,3,FALSE)</f>
        <v>继承武者的职业特性；自带“卧薪尝胆”技能，且此技能对所有武器都生效。</v>
      </c>
      <c r="C21" s="124"/>
      <c r="D21" s="124"/>
      <c r="F21" s="127" t="s">
        <v>105</v>
      </c>
      <c r="G21" s="127"/>
      <c r="H21" s="127"/>
      <c r="I21" s="127"/>
      <c r="J21" s="128" t="s">
        <v>106</v>
      </c>
      <c r="K21" s="128"/>
      <c r="M21" s="58" t="s">
        <v>107</v>
      </c>
      <c r="N21" s="95"/>
      <c r="O21" s="95"/>
      <c r="P21" s="58" t="s">
        <v>107</v>
      </c>
      <c r="Q21" s="95"/>
      <c r="R21" s="95"/>
      <c r="S21" s="58" t="s">
        <v>107</v>
      </c>
      <c r="T21" s="95"/>
      <c r="U21" s="95"/>
      <c r="V21" s="62"/>
    </row>
    <row r="22" spans="1:35" ht="20.399999999999999" customHeight="1">
      <c r="A22" s="102"/>
      <c r="B22" s="125"/>
      <c r="C22" s="125"/>
      <c r="D22" s="125"/>
      <c r="F22" s="42" t="s">
        <v>108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109</v>
      </c>
      <c r="N22" s="95">
        <f ca="1">SUM(N20,N21)</f>
        <v>0</v>
      </c>
      <c r="O22" s="95"/>
      <c r="P22" s="58" t="s">
        <v>109</v>
      </c>
      <c r="Q22" s="95">
        <f ca="1">SUM(Q20,Q21)</f>
        <v>0</v>
      </c>
      <c r="R22" s="95"/>
      <c r="S22" s="58" t="s">
        <v>109</v>
      </c>
      <c r="T22" s="95">
        <f ca="1">SUM(T20,T21)</f>
        <v>0</v>
      </c>
      <c r="U22" s="95"/>
      <c r="V22" s="62"/>
    </row>
    <row r="23" spans="1:35" ht="20.399999999999999" customHeight="1">
      <c r="A23" s="103"/>
      <c r="B23" s="126"/>
      <c r="C23" s="126"/>
      <c r="D23" s="126"/>
      <c r="M23" s="58" t="s">
        <v>110</v>
      </c>
      <c r="N23" s="95">
        <f ca="1">IF(IF(N16=0,N15-N22,N16-N22)&lt;$K$3/2,$K$3/2,IF(N16=0,N15-N22,N16-N22))</f>
        <v>50.7</v>
      </c>
      <c r="O23" s="95"/>
      <c r="P23" s="58" t="s">
        <v>110</v>
      </c>
      <c r="Q23" s="95">
        <f ca="1">IF(IF(Q16=0,Q15-Q22,Q16-Q22)&lt;$K$3/2,$K$3/2,IF(Q16=0,Q15-Q22,Q16-Q22))</f>
        <v>50.7</v>
      </c>
      <c r="R23" s="95"/>
      <c r="S23" s="58" t="s">
        <v>110</v>
      </c>
      <c r="T23" s="95">
        <f ca="1">IF(IF(T16=0,T15-T22,T16-T22)&lt;$K$5/2,$K$5/2,IF(T16=0,T15-T22,T16-T22))</f>
        <v>50.7</v>
      </c>
      <c r="U23" s="95"/>
      <c r="V23" s="62"/>
    </row>
    <row r="24" spans="1:35" ht="20.399999999999999" customHeight="1">
      <c r="V24" s="62"/>
    </row>
    <row r="26" spans="1:35" ht="20.399999999999999" customHeight="1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>
      <c r="A29" t="s">
        <v>11</v>
      </c>
      <c r="B29">
        <f ca="1">K3</f>
        <v>50</v>
      </c>
      <c r="D29" t="s">
        <v>57</v>
      </c>
      <c r="G29" t="s">
        <v>111</v>
      </c>
      <c r="H29" t="s">
        <v>112</v>
      </c>
    </row>
    <row r="30" spans="1:35" ht="20.399999999999999" customHeight="1">
      <c r="A30" t="s">
        <v>55</v>
      </c>
      <c r="B30">
        <f ca="1">K11</f>
        <v>40</v>
      </c>
      <c r="D30" t="s">
        <v>106</v>
      </c>
      <c r="F30" t="s">
        <v>113</v>
      </c>
      <c r="G30">
        <f>S9</f>
        <v>11</v>
      </c>
      <c r="H30">
        <f ca="1">U9</f>
        <v>11</v>
      </c>
    </row>
    <row r="31" spans="1:35" ht="20.399999999999999" customHeight="1">
      <c r="A31" t="s">
        <v>31</v>
      </c>
      <c r="B31">
        <f ca="1">K5</f>
        <v>50</v>
      </c>
      <c r="F31" t="s">
        <v>114</v>
      </c>
      <c r="G31">
        <f>S6</f>
        <v>30</v>
      </c>
      <c r="H31">
        <f ca="1">U6</f>
        <v>30</v>
      </c>
    </row>
    <row r="32" spans="1:35" ht="20.399999999999999" customHeight="1">
      <c r="A32" t="s">
        <v>61</v>
      </c>
      <c r="B32">
        <f ca="1">K13</f>
        <v>30</v>
      </c>
      <c r="F32" t="s">
        <v>115</v>
      </c>
      <c r="G32">
        <f>S3</f>
        <v>45</v>
      </c>
      <c r="H32">
        <f ca="1">U3</f>
        <v>45</v>
      </c>
    </row>
    <row r="33" spans="1:8" ht="20.399999999999999" customHeight="1">
      <c r="A33" t="s">
        <v>40</v>
      </c>
      <c r="B33">
        <f ca="1">K7</f>
        <v>40</v>
      </c>
    </row>
    <row r="34" spans="1:8" ht="20.399999999999999" customHeight="1">
      <c r="A34" t="s">
        <v>46</v>
      </c>
      <c r="B34">
        <f ca="1">K9</f>
        <v>30</v>
      </c>
    </row>
    <row r="35" spans="1:8" ht="20.399999999999999" customHeight="1">
      <c r="G35" t="s">
        <v>111</v>
      </c>
      <c r="H35" t="s">
        <v>112</v>
      </c>
    </row>
    <row r="36" spans="1:8" ht="20.399999999999999" customHeight="1">
      <c r="A36" t="s">
        <v>116</v>
      </c>
      <c r="C36">
        <f>COUNTIF(B18,"*战术*")</f>
        <v>0</v>
      </c>
      <c r="F36" t="s">
        <v>93</v>
      </c>
      <c r="G36">
        <f>I17</f>
        <v>5</v>
      </c>
      <c r="H36">
        <f ca="1">K17</f>
        <v>5</v>
      </c>
    </row>
    <row r="37" spans="1:8" ht="20.399999999999999" customHeight="1">
      <c r="A37" t="s">
        <v>117</v>
      </c>
      <c r="F37" t="s">
        <v>97</v>
      </c>
      <c r="G37">
        <f>I18</f>
        <v>8</v>
      </c>
      <c r="H37">
        <f ca="1">K18</f>
        <v>8</v>
      </c>
    </row>
    <row r="38" spans="1:8" ht="20.399999999999999" customHeight="1">
      <c r="A38" t="s">
        <v>118</v>
      </c>
      <c r="F38" t="s">
        <v>99</v>
      </c>
      <c r="G38">
        <f>I19</f>
        <v>10</v>
      </c>
      <c r="H38">
        <f ca="1">K19</f>
        <v>10</v>
      </c>
    </row>
    <row r="39" spans="1:8" ht="20.399999999999999" customHeight="1">
      <c r="A39" t="s">
        <v>119</v>
      </c>
      <c r="F39" t="s">
        <v>102</v>
      </c>
      <c r="G39">
        <f>I20</f>
        <v>8</v>
      </c>
      <c r="H39">
        <f ca="1">K20</f>
        <v>8</v>
      </c>
    </row>
    <row r="42" spans="1:8" ht="20.399999999999999" customHeight="1">
      <c r="A42" t="str">
        <f>社群与职业!G4</f>
        <v>武者</v>
      </c>
      <c r="B42" t="str">
        <f>社群与职业!I4</f>
        <v>长柄刀、搬运、缴械</v>
      </c>
      <c r="C42" t="str">
        <f>社群与职业!N4</f>
        <v>每行动轮多2次进入子弹时间的机会；每行动轮获得额外2点只可用于敌意行动的行动点。</v>
      </c>
    </row>
    <row r="43" spans="1:8" ht="20.399999999999999" customHeight="1">
      <c r="A43" t="str">
        <f>社群与职业!G6</f>
        <v>武士</v>
      </c>
      <c r="B43" t="str">
        <f>社群与职业!I6</f>
        <v>长柄刀、搬运、抵抗、攀爬</v>
      </c>
      <c r="C43" t="str">
        <f>社群与职业!N6</f>
        <v>继承武者的职业特性；自带“卧薪尝胆”技能，且此技能对所有武器都生效。</v>
      </c>
    </row>
    <row r="44" spans="1:8" ht="20.399999999999999" customHeight="1">
      <c r="A44">
        <f>社群与职业!G8</f>
        <v>0</v>
      </c>
      <c r="B44">
        <f>社群与职业!I8</f>
        <v>0</v>
      </c>
      <c r="C44">
        <f>社群与职业!N8</f>
        <v>0</v>
      </c>
    </row>
    <row r="45" spans="1:8" ht="20.399999999999999" customHeight="1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E15" sqref="E15:H16"/>
    </sheetView>
  </sheetViews>
  <sheetFormatPr defaultColWidth="9" defaultRowHeight="20.399999999999999" customHeight="1"/>
  <sheetData>
    <row r="1" spans="1:23" ht="20.399999999999999" customHeight="1">
      <c r="A1" s="129" t="s">
        <v>120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N1" s="130" t="s">
        <v>121</v>
      </c>
      <c r="O1" s="130"/>
      <c r="P1" s="130"/>
      <c r="Q1" s="130"/>
      <c r="R1" s="130"/>
      <c r="S1" s="130"/>
      <c r="T1" s="130"/>
      <c r="U1" s="130"/>
      <c r="V1" s="130"/>
      <c r="W1" s="130"/>
    </row>
    <row r="2" spans="1:23" ht="20.399999999999999" customHeight="1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N2" s="130"/>
      <c r="O2" s="130"/>
      <c r="P2" s="130"/>
      <c r="Q2" s="130"/>
      <c r="R2" s="130"/>
      <c r="S2" s="130"/>
      <c r="T2" s="130"/>
      <c r="U2" s="130"/>
      <c r="V2" s="130"/>
      <c r="W2" s="130"/>
    </row>
    <row r="3" spans="1:23" ht="20.399999999999999" customHeight="1">
      <c r="A3" s="133" t="s">
        <v>122</v>
      </c>
      <c r="B3" s="133"/>
      <c r="C3" s="133"/>
      <c r="D3" s="133"/>
      <c r="E3" s="135">
        <f>SUMIF(E9:H591,"&gt;=0",E9:H591)</f>
        <v>5</v>
      </c>
      <c r="F3" s="135"/>
      <c r="G3" s="135"/>
      <c r="H3" s="135"/>
      <c r="I3" s="135"/>
      <c r="J3" s="135"/>
      <c r="K3" s="135"/>
      <c r="L3" s="135"/>
      <c r="N3" s="137" t="s">
        <v>123</v>
      </c>
      <c r="O3" s="137"/>
      <c r="P3" s="137"/>
      <c r="Q3" s="137"/>
      <c r="R3" s="137"/>
      <c r="S3" s="137"/>
      <c r="T3" s="137"/>
      <c r="U3" s="137"/>
      <c r="V3" s="137"/>
      <c r="W3" s="137"/>
    </row>
    <row r="4" spans="1:23" ht="20.399999999999999" customHeight="1">
      <c r="A4" s="134"/>
      <c r="B4" s="134"/>
      <c r="C4" s="134"/>
      <c r="D4" s="134"/>
      <c r="E4" s="136"/>
      <c r="F4" s="136"/>
      <c r="G4" s="136"/>
      <c r="H4" s="136"/>
      <c r="I4" s="136"/>
      <c r="J4" s="136"/>
      <c r="K4" s="136"/>
      <c r="L4" s="136"/>
      <c r="N4" s="137"/>
      <c r="O4" s="137"/>
      <c r="P4" s="137"/>
      <c r="Q4" s="137"/>
      <c r="R4" s="137"/>
      <c r="S4" s="137"/>
      <c r="T4" s="137"/>
      <c r="U4" s="137"/>
      <c r="V4" s="137"/>
      <c r="W4" s="137"/>
    </row>
    <row r="5" spans="1:23" ht="20.399999999999999" customHeight="1">
      <c r="A5" s="133" t="s">
        <v>124</v>
      </c>
      <c r="B5" s="133"/>
      <c r="C5" s="133"/>
      <c r="D5" s="135">
        <f>E3-J5</f>
        <v>5</v>
      </c>
      <c r="E5" s="135"/>
      <c r="F5" s="135"/>
      <c r="G5" s="133" t="s">
        <v>125</v>
      </c>
      <c r="H5" s="133"/>
      <c r="I5" s="133"/>
      <c r="J5" s="135">
        <f>E11</f>
        <v>0</v>
      </c>
      <c r="K5" s="135"/>
      <c r="L5" s="135"/>
      <c r="N5" s="137"/>
      <c r="O5" s="137"/>
      <c r="P5" s="137"/>
      <c r="Q5" s="137"/>
      <c r="R5" s="137"/>
      <c r="S5" s="137"/>
      <c r="T5" s="137"/>
      <c r="U5" s="137"/>
      <c r="V5" s="137"/>
      <c r="W5" s="137"/>
    </row>
    <row r="6" spans="1:23" ht="20.399999999999999" customHeight="1">
      <c r="A6" s="134"/>
      <c r="B6" s="134"/>
      <c r="C6" s="134"/>
      <c r="D6" s="136"/>
      <c r="E6" s="136"/>
      <c r="F6" s="136"/>
      <c r="G6" s="134"/>
      <c r="H6" s="134"/>
      <c r="I6" s="134"/>
      <c r="J6" s="136"/>
      <c r="K6" s="136"/>
      <c r="L6" s="136"/>
      <c r="N6" s="137"/>
      <c r="O6" s="137"/>
      <c r="P6" s="137"/>
      <c r="Q6" s="137"/>
      <c r="R6" s="137"/>
      <c r="S6" s="137"/>
      <c r="T6" s="137"/>
      <c r="U6" s="137"/>
      <c r="V6" s="137"/>
      <c r="W6" s="137"/>
    </row>
    <row r="7" spans="1:23" ht="20.399999999999999" customHeight="1">
      <c r="A7" s="135" t="s">
        <v>126</v>
      </c>
      <c r="B7" s="135"/>
      <c r="C7" s="135"/>
      <c r="D7" s="135"/>
      <c r="E7" s="135" t="s">
        <v>127</v>
      </c>
      <c r="F7" s="135"/>
      <c r="G7" s="135"/>
      <c r="H7" s="135"/>
      <c r="I7" s="135" t="s">
        <v>128</v>
      </c>
      <c r="J7" s="135"/>
      <c r="K7" s="135"/>
      <c r="L7" s="135"/>
      <c r="N7" s="137"/>
      <c r="O7" s="137"/>
      <c r="P7" s="137"/>
      <c r="Q7" s="137"/>
      <c r="R7" s="137"/>
      <c r="S7" s="137"/>
      <c r="T7" s="137"/>
      <c r="U7" s="137"/>
      <c r="V7" s="137"/>
      <c r="W7" s="137"/>
    </row>
    <row r="8" spans="1:23" ht="20.399999999999999" customHeight="1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N8" s="137"/>
      <c r="O8" s="137"/>
      <c r="P8" s="137"/>
      <c r="Q8" s="137"/>
      <c r="R8" s="137"/>
      <c r="S8" s="137"/>
      <c r="T8" s="137"/>
      <c r="U8" s="137"/>
      <c r="V8" s="137"/>
      <c r="W8" s="137"/>
    </row>
    <row r="9" spans="1:23" ht="20.399999999999999" customHeight="1">
      <c r="A9" s="131" t="s">
        <v>129</v>
      </c>
      <c r="B9" s="131"/>
      <c r="C9" s="131"/>
      <c r="D9" s="131"/>
      <c r="E9" s="131">
        <v>5</v>
      </c>
      <c r="F9" s="131"/>
      <c r="G9" s="131"/>
      <c r="H9" s="131"/>
      <c r="I9" s="131">
        <f>E9</f>
        <v>5</v>
      </c>
      <c r="J9" s="131"/>
      <c r="K9" s="131"/>
      <c r="L9" s="131"/>
      <c r="N9" s="137"/>
      <c r="O9" s="137"/>
      <c r="P9" s="137"/>
      <c r="Q9" s="137"/>
      <c r="R9" s="137"/>
      <c r="S9" s="137"/>
      <c r="T9" s="137"/>
      <c r="U9" s="137"/>
      <c r="V9" s="137"/>
      <c r="W9" s="137"/>
    </row>
    <row r="10" spans="1:23" ht="20.399999999999999" customHeight="1">
      <c r="A10" s="132"/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N10" s="137"/>
      <c r="O10" s="137"/>
      <c r="P10" s="137"/>
      <c r="Q10" s="137"/>
      <c r="R10" s="137"/>
      <c r="S10" s="137"/>
      <c r="T10" s="137"/>
      <c r="U10" s="137"/>
      <c r="V10" s="137"/>
      <c r="W10" s="137"/>
    </row>
    <row r="11" spans="1:23" ht="20.399999999999999" customHeight="1">
      <c r="A11" s="131" t="s">
        <v>130</v>
      </c>
      <c r="B11" s="131"/>
      <c r="C11" s="131"/>
      <c r="D11" s="131"/>
      <c r="E11" s="131">
        <v>0</v>
      </c>
      <c r="F11" s="131"/>
      <c r="G11" s="131"/>
      <c r="H11" s="131"/>
      <c r="I11" s="131">
        <f>E11+I9</f>
        <v>5</v>
      </c>
      <c r="J11" s="131"/>
      <c r="K11" s="131"/>
      <c r="L11" s="131"/>
      <c r="N11" s="137"/>
      <c r="O11" s="137"/>
      <c r="P11" s="137"/>
      <c r="Q11" s="137"/>
      <c r="R11" s="137"/>
      <c r="S11" s="137"/>
      <c r="T11" s="137"/>
      <c r="U11" s="137"/>
      <c r="V11" s="137"/>
      <c r="W11" s="137"/>
    </row>
    <row r="12" spans="1:23" ht="20.399999999999999" customHeight="1">
      <c r="A12" s="132"/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N12" s="137"/>
      <c r="O12" s="137"/>
      <c r="P12" s="137"/>
      <c r="Q12" s="137"/>
      <c r="R12" s="137"/>
      <c r="S12" s="137"/>
      <c r="T12" s="137"/>
      <c r="U12" s="137"/>
      <c r="V12" s="137"/>
      <c r="W12" s="137"/>
    </row>
    <row r="13" spans="1:23" ht="20.399999999999999" customHeight="1">
      <c r="A13" s="131" t="s">
        <v>131</v>
      </c>
      <c r="B13" s="131"/>
      <c r="C13" s="131"/>
      <c r="D13" s="131"/>
      <c r="E13" s="131">
        <v>0</v>
      </c>
      <c r="F13" s="131"/>
      <c r="G13" s="131"/>
      <c r="H13" s="131"/>
      <c r="I13" s="131">
        <f t="shared" ref="I13" si="0">E13+I11</f>
        <v>5</v>
      </c>
      <c r="J13" s="131"/>
      <c r="K13" s="131"/>
      <c r="L13" s="131"/>
      <c r="N13" s="137"/>
      <c r="O13" s="137"/>
      <c r="P13" s="137"/>
      <c r="Q13" s="137"/>
      <c r="R13" s="137"/>
      <c r="S13" s="137"/>
      <c r="T13" s="137"/>
      <c r="U13" s="137"/>
      <c r="V13" s="137"/>
      <c r="W13" s="137"/>
    </row>
    <row r="14" spans="1:23" ht="20.399999999999999" customHeight="1">
      <c r="A14" s="132"/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N14" s="137"/>
      <c r="O14" s="137"/>
      <c r="P14" s="137"/>
      <c r="Q14" s="137"/>
      <c r="R14" s="137"/>
      <c r="S14" s="137"/>
      <c r="T14" s="137"/>
      <c r="U14" s="137"/>
      <c r="V14" s="137"/>
      <c r="W14" s="137"/>
    </row>
    <row r="15" spans="1:23" ht="20.399999999999999" customHeight="1">
      <c r="A15" s="131" t="s">
        <v>356</v>
      </c>
      <c r="B15" s="131"/>
      <c r="C15" s="131"/>
      <c r="D15" s="131"/>
      <c r="E15" s="131">
        <v>-3</v>
      </c>
      <c r="F15" s="131"/>
      <c r="G15" s="131"/>
      <c r="H15" s="131"/>
      <c r="I15" s="131">
        <f t="shared" ref="I15" si="1">E15+I13</f>
        <v>2</v>
      </c>
      <c r="J15" s="131"/>
      <c r="K15" s="131"/>
      <c r="L15" s="131"/>
      <c r="N15" s="137"/>
      <c r="O15" s="137"/>
      <c r="P15" s="137"/>
      <c r="Q15" s="137"/>
      <c r="R15" s="137"/>
      <c r="S15" s="137"/>
      <c r="T15" s="137"/>
      <c r="U15" s="137"/>
      <c r="V15" s="137"/>
      <c r="W15" s="137"/>
    </row>
    <row r="16" spans="1:23" ht="20.399999999999999" customHeight="1">
      <c r="A16" s="132"/>
      <c r="B16" s="132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N16" s="137"/>
      <c r="O16" s="137"/>
      <c r="P16" s="137"/>
      <c r="Q16" s="137"/>
      <c r="R16" s="137"/>
      <c r="S16" s="137"/>
      <c r="T16" s="137"/>
      <c r="U16" s="137"/>
      <c r="V16" s="137"/>
      <c r="W16" s="137"/>
    </row>
    <row r="17" spans="1:23" ht="20.399999999999999" customHeight="1">
      <c r="A17" s="131" t="s">
        <v>132</v>
      </c>
      <c r="B17" s="131"/>
      <c r="C17" s="131"/>
      <c r="D17" s="131"/>
      <c r="E17" s="131">
        <v>-2</v>
      </c>
      <c r="F17" s="131"/>
      <c r="G17" s="131"/>
      <c r="H17" s="131"/>
      <c r="I17" s="131">
        <f t="shared" ref="I17" si="2">E17+I15</f>
        <v>0</v>
      </c>
      <c r="J17" s="131"/>
      <c r="K17" s="131"/>
      <c r="L17" s="131"/>
      <c r="N17" s="137"/>
      <c r="O17" s="137"/>
      <c r="P17" s="137"/>
      <c r="Q17" s="137"/>
      <c r="R17" s="137"/>
      <c r="S17" s="137"/>
      <c r="T17" s="137"/>
      <c r="U17" s="137"/>
      <c r="V17" s="137"/>
      <c r="W17" s="137"/>
    </row>
    <row r="18" spans="1:23" ht="20.399999999999999" customHeight="1">
      <c r="A18" s="132"/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N18" s="137"/>
      <c r="O18" s="137"/>
      <c r="P18" s="137"/>
      <c r="Q18" s="137"/>
      <c r="R18" s="137"/>
      <c r="S18" s="137"/>
      <c r="T18" s="137"/>
      <c r="U18" s="137"/>
      <c r="V18" s="137"/>
      <c r="W18" s="137"/>
    </row>
    <row r="19" spans="1:23" ht="20.399999999999999" customHeight="1">
      <c r="A19" s="131"/>
      <c r="B19" s="131"/>
      <c r="C19" s="131"/>
      <c r="D19" s="131"/>
      <c r="E19" s="131"/>
      <c r="F19" s="131"/>
      <c r="G19" s="131"/>
      <c r="H19" s="131"/>
      <c r="I19" s="131">
        <f t="shared" ref="I19" si="3">E19+I17</f>
        <v>0</v>
      </c>
      <c r="J19" s="131"/>
      <c r="K19" s="131"/>
      <c r="L19" s="131"/>
      <c r="N19" s="137"/>
      <c r="O19" s="137"/>
      <c r="P19" s="137"/>
      <c r="Q19" s="137"/>
      <c r="R19" s="137"/>
      <c r="S19" s="137"/>
      <c r="T19" s="137"/>
      <c r="U19" s="137"/>
      <c r="V19" s="137"/>
      <c r="W19" s="137"/>
    </row>
    <row r="20" spans="1:23" ht="20.399999999999999" customHeight="1">
      <c r="A20" s="132"/>
      <c r="B20" s="132"/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N20" s="137"/>
      <c r="O20" s="137"/>
      <c r="P20" s="137"/>
      <c r="Q20" s="137"/>
      <c r="R20" s="137"/>
      <c r="S20" s="137"/>
      <c r="T20" s="137"/>
      <c r="U20" s="137"/>
      <c r="V20" s="137"/>
      <c r="W20" s="137"/>
    </row>
    <row r="21" spans="1:23" ht="20.399999999999999" customHeight="1">
      <c r="A21" s="131"/>
      <c r="B21" s="131"/>
      <c r="C21" s="131"/>
      <c r="D21" s="131"/>
      <c r="E21" s="131"/>
      <c r="F21" s="131"/>
      <c r="G21" s="131"/>
      <c r="H21" s="131"/>
      <c r="I21" s="131">
        <f t="shared" ref="I21" si="4">E21+I19</f>
        <v>0</v>
      </c>
      <c r="J21" s="131"/>
      <c r="K21" s="131"/>
      <c r="L21" s="131"/>
      <c r="N21" s="137"/>
      <c r="O21" s="137"/>
      <c r="P21" s="137"/>
      <c r="Q21" s="137"/>
      <c r="R21" s="137"/>
      <c r="S21" s="137"/>
      <c r="T21" s="137"/>
      <c r="U21" s="137"/>
      <c r="V21" s="137"/>
      <c r="W21" s="137"/>
    </row>
    <row r="22" spans="1:23" ht="20.399999999999999" customHeight="1">
      <c r="A22" s="132"/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N22" s="137"/>
      <c r="O22" s="137"/>
      <c r="P22" s="137"/>
      <c r="Q22" s="137"/>
      <c r="R22" s="137"/>
      <c r="S22" s="137"/>
      <c r="T22" s="137"/>
      <c r="U22" s="137"/>
      <c r="V22" s="137"/>
      <c r="W22" s="137"/>
    </row>
    <row r="23" spans="1:23" ht="20.399999999999999" customHeight="1">
      <c r="A23" s="131"/>
      <c r="B23" s="131"/>
      <c r="C23" s="131"/>
      <c r="D23" s="131"/>
      <c r="E23" s="131"/>
      <c r="F23" s="131"/>
      <c r="G23" s="131"/>
      <c r="H23" s="131"/>
      <c r="I23" s="131">
        <f t="shared" ref="I23" si="5">E23+I21</f>
        <v>0</v>
      </c>
      <c r="J23" s="131"/>
      <c r="K23" s="131"/>
      <c r="L23" s="131"/>
      <c r="N23" s="137"/>
      <c r="O23" s="137"/>
      <c r="P23" s="137"/>
      <c r="Q23" s="137"/>
      <c r="R23" s="137"/>
      <c r="S23" s="137"/>
      <c r="T23" s="137"/>
      <c r="U23" s="137"/>
      <c r="V23" s="137"/>
      <c r="W23" s="137"/>
    </row>
    <row r="24" spans="1:23" ht="20.399999999999999" customHeight="1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N24" s="137"/>
      <c r="O24" s="137"/>
      <c r="P24" s="137"/>
      <c r="Q24" s="137"/>
      <c r="R24" s="137"/>
      <c r="S24" s="137"/>
      <c r="T24" s="137"/>
      <c r="U24" s="137"/>
      <c r="V24" s="137"/>
      <c r="W24" s="137"/>
    </row>
    <row r="25" spans="1:23" ht="20.399999999999999" customHeight="1">
      <c r="A25" s="131"/>
      <c r="B25" s="131"/>
      <c r="C25" s="131"/>
      <c r="D25" s="131"/>
      <c r="E25" s="131"/>
      <c r="F25" s="131"/>
      <c r="G25" s="131"/>
      <c r="H25" s="131"/>
      <c r="I25" s="131">
        <f t="shared" ref="I25" si="6">E25+I23</f>
        <v>0</v>
      </c>
      <c r="J25" s="131"/>
      <c r="K25" s="131"/>
      <c r="L25" s="131"/>
      <c r="N25" s="137"/>
      <c r="O25" s="137"/>
      <c r="P25" s="137"/>
      <c r="Q25" s="137"/>
      <c r="R25" s="137"/>
      <c r="S25" s="137"/>
      <c r="T25" s="137"/>
      <c r="U25" s="137"/>
      <c r="V25" s="137"/>
      <c r="W25" s="137"/>
    </row>
    <row r="26" spans="1:23" ht="20.399999999999999" customHeight="1">
      <c r="A26" s="132"/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N26" s="137"/>
      <c r="O26" s="137"/>
      <c r="P26" s="137"/>
      <c r="Q26" s="137"/>
      <c r="R26" s="137"/>
      <c r="S26" s="137"/>
      <c r="T26" s="137"/>
      <c r="U26" s="137"/>
      <c r="V26" s="137"/>
      <c r="W26" s="137"/>
    </row>
    <row r="27" spans="1:23" ht="20.399999999999999" customHeight="1">
      <c r="A27" s="131"/>
      <c r="B27" s="131"/>
      <c r="C27" s="131"/>
      <c r="D27" s="131"/>
      <c r="E27" s="131"/>
      <c r="F27" s="131"/>
      <c r="G27" s="131"/>
      <c r="H27" s="131"/>
      <c r="I27" s="131">
        <f t="shared" ref="I27" si="7">E27+I25</f>
        <v>0</v>
      </c>
      <c r="J27" s="131"/>
      <c r="K27" s="131"/>
      <c r="L27" s="131"/>
      <c r="N27" s="137"/>
      <c r="O27" s="137"/>
      <c r="P27" s="137"/>
      <c r="Q27" s="137"/>
      <c r="R27" s="137"/>
      <c r="S27" s="137"/>
      <c r="T27" s="137"/>
      <c r="U27" s="137"/>
      <c r="V27" s="137"/>
      <c r="W27" s="137"/>
    </row>
    <row r="28" spans="1:23" ht="20.399999999999999" customHeight="1">
      <c r="A28" s="132"/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N28" s="137"/>
      <c r="O28" s="137"/>
      <c r="P28" s="137"/>
      <c r="Q28" s="137"/>
      <c r="R28" s="137"/>
      <c r="S28" s="137"/>
      <c r="T28" s="137"/>
      <c r="U28" s="137"/>
      <c r="V28" s="137"/>
      <c r="W28" s="137"/>
    </row>
    <row r="29" spans="1:23" ht="20.399999999999999" customHeight="1">
      <c r="A29" s="131"/>
      <c r="B29" s="131"/>
      <c r="C29" s="131"/>
      <c r="D29" s="131"/>
      <c r="E29" s="131"/>
      <c r="F29" s="131"/>
      <c r="G29" s="131"/>
      <c r="H29" s="131"/>
      <c r="I29" s="131">
        <f t="shared" ref="I29" si="8">E29+I27</f>
        <v>0</v>
      </c>
      <c r="J29" s="131"/>
      <c r="K29" s="131"/>
      <c r="L29" s="131"/>
      <c r="N29" s="137"/>
      <c r="O29" s="137"/>
      <c r="P29" s="137"/>
      <c r="Q29" s="137"/>
      <c r="R29" s="137"/>
      <c r="S29" s="137"/>
      <c r="T29" s="137"/>
      <c r="U29" s="137"/>
      <c r="V29" s="137"/>
      <c r="W29" s="137"/>
    </row>
    <row r="30" spans="1:23" ht="20.399999999999999" customHeight="1">
      <c r="A30" s="132"/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N30" s="137"/>
      <c r="O30" s="137"/>
      <c r="P30" s="137"/>
      <c r="Q30" s="137"/>
      <c r="R30" s="137"/>
      <c r="S30" s="137"/>
      <c r="T30" s="137"/>
      <c r="U30" s="137"/>
      <c r="V30" s="137"/>
      <c r="W30" s="137"/>
    </row>
    <row r="32" spans="1:23" ht="20.399999999999999" customHeight="1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3:D24"/>
    <mergeCell ref="E23:H24"/>
    <mergeCell ref="I23:L24"/>
    <mergeCell ref="A25:D26"/>
    <mergeCell ref="E25:H26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13:D14"/>
    <mergeCell ref="E13:H14"/>
    <mergeCell ref="I13:L14"/>
    <mergeCell ref="A15:D16"/>
    <mergeCell ref="E15:H16"/>
    <mergeCell ref="I15:L16"/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/>
  <sheetData>
    <row r="1" spans="1:31" ht="20.399999999999999" customHeight="1">
      <c r="A1" s="138" t="s">
        <v>133</v>
      </c>
      <c r="B1" s="138"/>
      <c r="C1" s="138"/>
      <c r="D1" s="138"/>
      <c r="E1" s="138"/>
      <c r="F1" s="138"/>
      <c r="G1" s="138"/>
      <c r="H1" s="26"/>
      <c r="I1" s="138" t="s">
        <v>134</v>
      </c>
      <c r="J1" s="138"/>
      <c r="K1" s="138"/>
      <c r="L1" s="138"/>
      <c r="M1" s="138"/>
      <c r="N1" s="138"/>
      <c r="O1" s="138"/>
      <c r="P1" s="26"/>
      <c r="Q1" s="138" t="s">
        <v>135</v>
      </c>
      <c r="R1" s="138"/>
      <c r="S1" s="138"/>
      <c r="T1" s="138"/>
      <c r="U1" s="138"/>
      <c r="V1" s="138"/>
      <c r="W1" s="138"/>
      <c r="X1" s="26"/>
      <c r="Y1" s="138" t="s">
        <v>136</v>
      </c>
      <c r="Z1" s="138"/>
      <c r="AA1" s="138"/>
      <c r="AB1" s="138"/>
      <c r="AC1" s="138"/>
      <c r="AD1" s="138"/>
      <c r="AE1" s="138"/>
    </row>
    <row r="2" spans="1:31" ht="20.399999999999999" customHeight="1">
      <c r="A2" s="138"/>
      <c r="B2" s="138"/>
      <c r="C2" s="138"/>
      <c r="D2" s="138"/>
      <c r="E2" s="138"/>
      <c r="F2" s="138"/>
      <c r="G2" s="138"/>
      <c r="H2" s="26"/>
      <c r="I2" s="138"/>
      <c r="J2" s="138"/>
      <c r="K2" s="138"/>
      <c r="L2" s="138"/>
      <c r="M2" s="138"/>
      <c r="N2" s="138"/>
      <c r="O2" s="138"/>
      <c r="P2" s="26"/>
      <c r="Q2" s="138"/>
      <c r="R2" s="138"/>
      <c r="S2" s="138"/>
      <c r="T2" s="138"/>
      <c r="U2" s="138"/>
      <c r="V2" s="138"/>
      <c r="W2" s="138"/>
      <c r="X2" s="26"/>
      <c r="Y2" s="138"/>
      <c r="Z2" s="138"/>
      <c r="AA2" s="138"/>
      <c r="AB2" s="138"/>
      <c r="AC2" s="138"/>
      <c r="AD2" s="138"/>
      <c r="AE2" s="138"/>
    </row>
    <row r="3" spans="1:31" ht="20.399999999999999" customHeight="1">
      <c r="A3" s="139" t="s">
        <v>137</v>
      </c>
      <c r="B3" s="139"/>
      <c r="C3" s="139"/>
      <c r="D3" s="139"/>
      <c r="E3" s="139"/>
      <c r="F3" s="139"/>
      <c r="G3" s="139"/>
      <c r="I3" s="139"/>
      <c r="J3" s="139"/>
      <c r="K3" s="139"/>
      <c r="L3" s="139"/>
      <c r="M3" s="139"/>
      <c r="N3" s="139"/>
      <c r="O3" s="139"/>
      <c r="Q3" s="140" t="s">
        <v>111</v>
      </c>
      <c r="R3" s="140"/>
      <c r="S3" s="140"/>
      <c r="T3" s="141">
        <v>0</v>
      </c>
      <c r="U3" s="141"/>
      <c r="V3" s="141"/>
      <c r="W3" s="141"/>
      <c r="Y3" s="139"/>
      <c r="Z3" s="139"/>
      <c r="AA3" s="139"/>
      <c r="AB3" s="139"/>
      <c r="AC3" s="139"/>
      <c r="AD3" s="139"/>
      <c r="AE3" s="139"/>
    </row>
    <row r="4" spans="1:31" ht="20.399999999999999" customHeight="1">
      <c r="A4" s="139"/>
      <c r="B4" s="139"/>
      <c r="C4" s="139"/>
      <c r="D4" s="139"/>
      <c r="E4" s="139"/>
      <c r="F4" s="139"/>
      <c r="G4" s="139"/>
      <c r="I4" s="139"/>
      <c r="J4" s="139"/>
      <c r="K4" s="139"/>
      <c r="L4" s="139"/>
      <c r="M4" s="139"/>
      <c r="N4" s="139"/>
      <c r="O4" s="139"/>
      <c r="Q4" s="140"/>
      <c r="R4" s="140"/>
      <c r="S4" s="140"/>
      <c r="T4" s="141"/>
      <c r="U4" s="141"/>
      <c r="V4" s="141"/>
      <c r="W4" s="141"/>
      <c r="Y4" s="139"/>
      <c r="Z4" s="139"/>
      <c r="AA4" s="139"/>
      <c r="AB4" s="139"/>
      <c r="AC4" s="139"/>
      <c r="AD4" s="139"/>
      <c r="AE4" s="139"/>
    </row>
    <row r="5" spans="1:31" ht="20.399999999999999" customHeight="1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40" t="s">
        <v>138</v>
      </c>
      <c r="R5" s="140"/>
      <c r="S5" s="140"/>
      <c r="T5" s="141" t="s">
        <v>139</v>
      </c>
      <c r="U5" s="141"/>
      <c r="V5" s="141"/>
      <c r="W5" s="141"/>
      <c r="Y5" s="139"/>
      <c r="Z5" s="139"/>
      <c r="AA5" s="139"/>
      <c r="AB5" s="139"/>
      <c r="AC5" s="139"/>
      <c r="AD5" s="139"/>
      <c r="AE5" s="139"/>
    </row>
    <row r="6" spans="1:31" ht="20.399999999999999" customHeight="1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40"/>
      <c r="R6" s="140"/>
      <c r="S6" s="140"/>
      <c r="T6" s="141"/>
      <c r="U6" s="141"/>
      <c r="V6" s="141"/>
      <c r="W6" s="141"/>
      <c r="Y6" s="139"/>
      <c r="Z6" s="139"/>
      <c r="AA6" s="139"/>
      <c r="AB6" s="139"/>
      <c r="AC6" s="139"/>
      <c r="AD6" s="139"/>
      <c r="AE6" s="139"/>
    </row>
    <row r="7" spans="1:31" ht="20.399999999999999" customHeight="1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40" t="s">
        <v>140</v>
      </c>
      <c r="R7" s="140"/>
      <c r="S7" s="140"/>
      <c r="T7" s="141" t="s">
        <v>141</v>
      </c>
      <c r="U7" s="141"/>
      <c r="V7" s="141"/>
      <c r="W7" s="141"/>
      <c r="Y7" s="139"/>
      <c r="Z7" s="139"/>
      <c r="AA7" s="139"/>
      <c r="AB7" s="139"/>
      <c r="AC7" s="139"/>
      <c r="AD7" s="139"/>
      <c r="AE7" s="139"/>
    </row>
    <row r="8" spans="1:31" ht="20.399999999999999" customHeight="1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40"/>
      <c r="R8" s="140"/>
      <c r="S8" s="140"/>
      <c r="T8" s="141"/>
      <c r="U8" s="141"/>
      <c r="V8" s="141"/>
      <c r="W8" s="141"/>
      <c r="Y8" s="139"/>
      <c r="Z8" s="139"/>
      <c r="AA8" s="139"/>
      <c r="AB8" s="139"/>
      <c r="AC8" s="139"/>
      <c r="AD8" s="139"/>
      <c r="AE8" s="139"/>
    </row>
    <row r="9" spans="1:31" ht="20.399999999999999" customHeight="1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40" t="s">
        <v>142</v>
      </c>
      <c r="R9" s="140"/>
      <c r="S9" s="140"/>
      <c r="T9" s="140"/>
      <c r="U9" s="140"/>
      <c r="V9" s="140"/>
      <c r="W9" s="140"/>
      <c r="Y9" s="139"/>
      <c r="Z9" s="139"/>
      <c r="AA9" s="139"/>
      <c r="AB9" s="139"/>
      <c r="AC9" s="139"/>
      <c r="AD9" s="139"/>
      <c r="AE9" s="139"/>
    </row>
    <row r="10" spans="1:31" ht="20.399999999999999" customHeight="1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40"/>
      <c r="R10" s="140"/>
      <c r="S10" s="140"/>
      <c r="T10" s="140"/>
      <c r="U10" s="140"/>
      <c r="V10" s="140"/>
      <c r="W10" s="140"/>
      <c r="Y10" s="139"/>
      <c r="Z10" s="139"/>
      <c r="AA10" s="139"/>
      <c r="AB10" s="139"/>
      <c r="AC10" s="139"/>
      <c r="AD10" s="139"/>
      <c r="AE10" s="139"/>
    </row>
    <row r="11" spans="1:31" ht="20.399999999999999" customHeight="1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41" t="s">
        <v>143</v>
      </c>
      <c r="R11" s="141"/>
      <c r="S11" s="141"/>
      <c r="T11" s="141"/>
      <c r="U11" s="141"/>
      <c r="V11" s="141"/>
      <c r="W11" s="141"/>
      <c r="Y11" s="139"/>
      <c r="Z11" s="139"/>
      <c r="AA11" s="139"/>
      <c r="AB11" s="139"/>
      <c r="AC11" s="139"/>
      <c r="AD11" s="139"/>
      <c r="AE11" s="139"/>
    </row>
    <row r="12" spans="1:31" ht="20.399999999999999" customHeight="1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41"/>
      <c r="R12" s="141"/>
      <c r="S12" s="141"/>
      <c r="T12" s="141"/>
      <c r="U12" s="141"/>
      <c r="V12" s="141"/>
      <c r="W12" s="141"/>
      <c r="Y12" s="139"/>
      <c r="Z12" s="139"/>
      <c r="AA12" s="139"/>
      <c r="AB12" s="139"/>
      <c r="AC12" s="139"/>
      <c r="AD12" s="139"/>
      <c r="AE12" s="139"/>
    </row>
    <row r="13" spans="1:31" ht="20.399999999999999" customHeight="1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41"/>
      <c r="R13" s="141"/>
      <c r="S13" s="141"/>
      <c r="T13" s="141"/>
      <c r="U13" s="141"/>
      <c r="V13" s="141"/>
      <c r="W13" s="141"/>
      <c r="Y13" s="139"/>
      <c r="Z13" s="139"/>
      <c r="AA13" s="139"/>
      <c r="AB13" s="139"/>
      <c r="AC13" s="139"/>
      <c r="AD13" s="139"/>
      <c r="AE13" s="139"/>
    </row>
    <row r="14" spans="1:31" ht="20.399999999999999" customHeight="1">
      <c r="A14" s="139"/>
      <c r="B14" s="139"/>
      <c r="C14" s="139"/>
      <c r="D14" s="139"/>
      <c r="E14" s="139"/>
      <c r="F14" s="139"/>
      <c r="G14" s="139"/>
      <c r="I14" s="138" t="s">
        <v>144</v>
      </c>
      <c r="J14" s="138"/>
      <c r="K14" s="138"/>
      <c r="L14" s="138"/>
      <c r="M14" s="138"/>
      <c r="N14" s="138"/>
      <c r="O14" s="138"/>
      <c r="Q14" s="140" t="s">
        <v>145</v>
      </c>
      <c r="R14" s="140"/>
      <c r="S14" s="140"/>
      <c r="T14" s="140"/>
      <c r="U14" s="140"/>
      <c r="V14" s="140"/>
      <c r="W14" s="140"/>
      <c r="Y14" s="139"/>
      <c r="Z14" s="139"/>
      <c r="AA14" s="139"/>
      <c r="AB14" s="139"/>
      <c r="AC14" s="139"/>
      <c r="AD14" s="139"/>
      <c r="AE14" s="139"/>
    </row>
    <row r="15" spans="1:31" ht="20.399999999999999" customHeight="1">
      <c r="A15" s="139"/>
      <c r="B15" s="139"/>
      <c r="C15" s="139"/>
      <c r="D15" s="139"/>
      <c r="E15" s="139"/>
      <c r="F15" s="139"/>
      <c r="G15" s="139"/>
      <c r="I15" s="138"/>
      <c r="J15" s="138"/>
      <c r="K15" s="138"/>
      <c r="L15" s="138"/>
      <c r="M15" s="138"/>
      <c r="N15" s="138"/>
      <c r="O15" s="138"/>
      <c r="Q15" s="140"/>
      <c r="R15" s="140"/>
      <c r="S15" s="140"/>
      <c r="T15" s="140"/>
      <c r="U15" s="140"/>
      <c r="V15" s="140"/>
      <c r="W15" s="140"/>
      <c r="Y15" s="139"/>
      <c r="Z15" s="139"/>
      <c r="AA15" s="139"/>
      <c r="AB15" s="139"/>
      <c r="AC15" s="139"/>
      <c r="AD15" s="139"/>
      <c r="AE15" s="139"/>
    </row>
    <row r="16" spans="1:31" ht="20.399999999999999" customHeight="1">
      <c r="A16" s="139"/>
      <c r="B16" s="139"/>
      <c r="C16" s="139"/>
      <c r="D16" s="139"/>
      <c r="E16" s="139"/>
      <c r="F16" s="139"/>
      <c r="G16" s="139"/>
      <c r="I16" s="139" t="s">
        <v>146</v>
      </c>
      <c r="J16" s="139"/>
      <c r="K16" s="139"/>
      <c r="L16" s="139"/>
      <c r="M16" s="139"/>
      <c r="N16" s="139"/>
      <c r="O16" s="139"/>
      <c r="Q16" s="141" t="s">
        <v>147</v>
      </c>
      <c r="R16" s="141"/>
      <c r="S16" s="141"/>
      <c r="T16" s="141"/>
      <c r="U16" s="141"/>
      <c r="V16" s="141"/>
      <c r="W16" s="141"/>
      <c r="Y16" s="139"/>
      <c r="Z16" s="139"/>
      <c r="AA16" s="139"/>
      <c r="AB16" s="139"/>
      <c r="AC16" s="139"/>
      <c r="AD16" s="139"/>
      <c r="AE16" s="139"/>
    </row>
    <row r="17" spans="1:31" ht="20.399999999999999" customHeight="1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41"/>
      <c r="R17" s="141"/>
      <c r="S17" s="141"/>
      <c r="T17" s="141"/>
      <c r="U17" s="141"/>
      <c r="V17" s="141"/>
      <c r="W17" s="141"/>
      <c r="Y17" s="139"/>
      <c r="Z17" s="139"/>
      <c r="AA17" s="139"/>
      <c r="AB17" s="139"/>
      <c r="AC17" s="139"/>
      <c r="AD17" s="139"/>
      <c r="AE17" s="139"/>
    </row>
    <row r="18" spans="1:31" ht="20.399999999999999" customHeight="1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41"/>
      <c r="R18" s="141"/>
      <c r="S18" s="141"/>
      <c r="T18" s="141"/>
      <c r="U18" s="141"/>
      <c r="V18" s="141"/>
      <c r="W18" s="141"/>
      <c r="Y18" s="139"/>
      <c r="Z18" s="139"/>
      <c r="AA18" s="139"/>
      <c r="AB18" s="139"/>
      <c r="AC18" s="139"/>
      <c r="AD18" s="139"/>
      <c r="AE18" s="139"/>
    </row>
    <row r="19" spans="1:31" ht="20.399999999999999" customHeight="1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Y19" s="139"/>
      <c r="Z19" s="139"/>
      <c r="AA19" s="139"/>
      <c r="AB19" s="139"/>
      <c r="AC19" s="139"/>
      <c r="AD19" s="139"/>
      <c r="AE19" s="139"/>
    </row>
    <row r="20" spans="1:31" ht="20.399999999999999" customHeight="1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Y20" s="139"/>
      <c r="Z20" s="139"/>
      <c r="AA20" s="139"/>
      <c r="AB20" s="139"/>
      <c r="AC20" s="139"/>
      <c r="AD20" s="139"/>
      <c r="AE20" s="139"/>
    </row>
    <row r="21" spans="1:31" ht="20.399999999999999" customHeight="1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Y21" s="139"/>
      <c r="Z21" s="139"/>
      <c r="AA21" s="139"/>
      <c r="AB21" s="139"/>
      <c r="AC21" s="139"/>
      <c r="AD21" s="139"/>
      <c r="AE21" s="139"/>
    </row>
    <row r="22" spans="1:31" ht="20.399999999999999" customHeight="1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Y22" s="139"/>
      <c r="Z22" s="139"/>
      <c r="AA22" s="139"/>
      <c r="AB22" s="139"/>
      <c r="AC22" s="139"/>
      <c r="AD22" s="139"/>
      <c r="AE22" s="139"/>
    </row>
    <row r="23" spans="1:31" ht="20.399999999999999" customHeight="1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Y23" s="139"/>
      <c r="Z23" s="139"/>
      <c r="AA23" s="139"/>
      <c r="AB23" s="139"/>
      <c r="AC23" s="139"/>
      <c r="AD23" s="139"/>
      <c r="AE23" s="139"/>
    </row>
    <row r="24" spans="1:31" ht="20.399999999999999" customHeight="1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Y24" s="139"/>
      <c r="Z24" s="139"/>
      <c r="AA24" s="139"/>
      <c r="AB24" s="139"/>
      <c r="AC24" s="139"/>
      <c r="AD24" s="139"/>
      <c r="AE24" s="139"/>
    </row>
    <row r="25" spans="1:31" ht="20.399999999999999" customHeight="1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U25" s="27"/>
      <c r="V25" s="27"/>
      <c r="W25" s="27"/>
      <c r="Y25" s="139"/>
      <c r="Z25" s="139"/>
      <c r="AA25" s="139"/>
      <c r="AB25" s="139"/>
      <c r="AC25" s="139"/>
      <c r="AD25" s="139"/>
      <c r="AE25" s="139"/>
    </row>
    <row r="26" spans="1:31" ht="20.399999999999999" customHeight="1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activeCell="I4" sqref="I4:O27"/>
    </sheetView>
  </sheetViews>
  <sheetFormatPr defaultColWidth="9" defaultRowHeight="14"/>
  <sheetData>
    <row r="1" spans="1:23">
      <c r="A1" s="142" t="s">
        <v>148</v>
      </c>
      <c r="B1" s="74"/>
      <c r="C1" s="74"/>
      <c r="D1" s="74"/>
      <c r="E1" s="74"/>
      <c r="F1" s="74"/>
      <c r="G1" s="74"/>
      <c r="I1" s="142" t="s">
        <v>149</v>
      </c>
      <c r="J1" s="74"/>
      <c r="K1" s="74"/>
      <c r="L1" s="74"/>
      <c r="M1" s="74"/>
      <c r="N1" s="74"/>
      <c r="O1" s="74"/>
      <c r="Q1" s="142" t="s">
        <v>150</v>
      </c>
      <c r="R1" s="74"/>
      <c r="S1" s="74"/>
      <c r="T1" s="74"/>
      <c r="U1" s="74"/>
      <c r="V1" s="74"/>
      <c r="W1" s="74"/>
    </row>
    <row r="2" spans="1:23">
      <c r="A2" s="74"/>
      <c r="B2" s="74"/>
      <c r="C2" s="74"/>
      <c r="D2" s="74"/>
      <c r="E2" s="74"/>
      <c r="F2" s="74"/>
      <c r="G2" s="74"/>
      <c r="I2" s="74"/>
      <c r="J2" s="74"/>
      <c r="K2" s="74"/>
      <c r="L2" s="74"/>
      <c r="M2" s="74"/>
      <c r="N2" s="74"/>
      <c r="O2" s="74"/>
      <c r="Q2" s="74"/>
      <c r="R2" s="74"/>
      <c r="S2" s="74"/>
      <c r="T2" s="74"/>
      <c r="U2" s="74"/>
      <c r="V2" s="74"/>
      <c r="W2" s="74"/>
    </row>
    <row r="3" spans="1:23">
      <c r="A3" s="74"/>
      <c r="B3" s="74"/>
      <c r="C3" s="74"/>
      <c r="D3" s="74"/>
      <c r="E3" s="74"/>
      <c r="F3" s="74"/>
      <c r="G3" s="74"/>
      <c r="I3" s="74"/>
      <c r="J3" s="74"/>
      <c r="K3" s="74"/>
      <c r="L3" s="74"/>
      <c r="M3" s="74"/>
      <c r="N3" s="74"/>
      <c r="O3" s="74"/>
      <c r="Q3" s="74"/>
      <c r="R3" s="74"/>
      <c r="S3" s="74"/>
      <c r="T3" s="74"/>
      <c r="U3" s="74"/>
      <c r="V3" s="74"/>
      <c r="W3" s="74"/>
    </row>
    <row r="4" spans="1:23">
      <c r="A4" s="139" t="s">
        <v>151</v>
      </c>
      <c r="B4" s="139"/>
      <c r="C4" s="139"/>
      <c r="D4" s="139"/>
      <c r="E4" s="139"/>
      <c r="F4" s="139"/>
      <c r="G4" s="139"/>
      <c r="I4" s="143" t="s">
        <v>365</v>
      </c>
      <c r="J4" s="139"/>
      <c r="K4" s="139"/>
      <c r="L4" s="139"/>
      <c r="M4" s="139"/>
      <c r="N4" s="139"/>
      <c r="O4" s="139"/>
      <c r="Q4" s="139" t="s">
        <v>152</v>
      </c>
      <c r="R4" s="139"/>
      <c r="S4" s="139"/>
      <c r="T4" s="139"/>
      <c r="U4" s="139"/>
      <c r="V4" s="139"/>
      <c r="W4" s="139"/>
    </row>
    <row r="5" spans="1:23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39"/>
      <c r="R5" s="139"/>
      <c r="S5" s="139"/>
      <c r="T5" s="139"/>
      <c r="U5" s="139"/>
      <c r="V5" s="139"/>
      <c r="W5" s="139"/>
    </row>
    <row r="6" spans="1:23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39"/>
      <c r="R6" s="139"/>
      <c r="S6" s="139"/>
      <c r="T6" s="139"/>
      <c r="U6" s="139"/>
      <c r="V6" s="139"/>
      <c r="W6" s="139"/>
    </row>
    <row r="7" spans="1:23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39"/>
      <c r="R7" s="139"/>
      <c r="S7" s="139"/>
      <c r="T7" s="139"/>
      <c r="U7" s="139"/>
      <c r="V7" s="139"/>
      <c r="W7" s="139"/>
    </row>
    <row r="8" spans="1:23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39"/>
      <c r="R8" s="139"/>
      <c r="S8" s="139"/>
      <c r="T8" s="139"/>
      <c r="U8" s="139"/>
      <c r="V8" s="139"/>
      <c r="W8" s="139"/>
    </row>
    <row r="9" spans="1:23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39"/>
      <c r="R9" s="139"/>
      <c r="S9" s="139"/>
      <c r="T9" s="139"/>
      <c r="U9" s="139"/>
      <c r="V9" s="139"/>
      <c r="W9" s="139"/>
    </row>
    <row r="10" spans="1:23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39"/>
      <c r="R10" s="139"/>
      <c r="S10" s="139"/>
      <c r="T10" s="139"/>
      <c r="U10" s="139"/>
      <c r="V10" s="139"/>
      <c r="W10" s="139"/>
    </row>
    <row r="11" spans="1:23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39"/>
      <c r="R11" s="139"/>
      <c r="S11" s="139"/>
      <c r="T11" s="139"/>
      <c r="U11" s="139"/>
      <c r="V11" s="139"/>
      <c r="W11" s="139"/>
    </row>
    <row r="12" spans="1:23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39"/>
      <c r="R12" s="139"/>
      <c r="S12" s="139"/>
      <c r="T12" s="139"/>
      <c r="U12" s="139"/>
      <c r="V12" s="139"/>
      <c r="W12" s="139"/>
    </row>
    <row r="13" spans="1:23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39"/>
      <c r="R13" s="139"/>
      <c r="S13" s="139"/>
      <c r="T13" s="139"/>
      <c r="U13" s="139"/>
      <c r="V13" s="139"/>
      <c r="W13" s="139"/>
    </row>
    <row r="14" spans="1:23">
      <c r="A14" s="139"/>
      <c r="B14" s="139"/>
      <c r="C14" s="139"/>
      <c r="D14" s="139"/>
      <c r="E14" s="139"/>
      <c r="F14" s="139"/>
      <c r="G14" s="139"/>
      <c r="I14" s="139"/>
      <c r="J14" s="139"/>
      <c r="K14" s="139"/>
      <c r="L14" s="139"/>
      <c r="M14" s="139"/>
      <c r="N14" s="139"/>
      <c r="O14" s="139"/>
      <c r="Q14" s="139"/>
      <c r="R14" s="139"/>
      <c r="S14" s="139"/>
      <c r="T14" s="139"/>
      <c r="U14" s="139"/>
      <c r="V14" s="139"/>
      <c r="W14" s="139"/>
    </row>
    <row r="15" spans="1:23">
      <c r="A15" s="139"/>
      <c r="B15" s="139"/>
      <c r="C15" s="139"/>
      <c r="D15" s="139"/>
      <c r="E15" s="139"/>
      <c r="F15" s="139"/>
      <c r="G15" s="139"/>
      <c r="I15" s="139"/>
      <c r="J15" s="139"/>
      <c r="K15" s="139"/>
      <c r="L15" s="139"/>
      <c r="M15" s="139"/>
      <c r="N15" s="139"/>
      <c r="O15" s="139"/>
      <c r="Q15" s="139"/>
      <c r="R15" s="139"/>
      <c r="S15" s="139"/>
      <c r="T15" s="139"/>
      <c r="U15" s="139"/>
      <c r="V15" s="139"/>
      <c r="W15" s="139"/>
    </row>
    <row r="16" spans="1:23">
      <c r="A16" s="139"/>
      <c r="B16" s="139"/>
      <c r="C16" s="139"/>
      <c r="D16" s="139"/>
      <c r="E16" s="139"/>
      <c r="F16" s="139"/>
      <c r="G16" s="139"/>
      <c r="I16" s="139"/>
      <c r="J16" s="139"/>
      <c r="K16" s="139"/>
      <c r="L16" s="139"/>
      <c r="M16" s="139"/>
      <c r="N16" s="139"/>
      <c r="O16" s="139"/>
      <c r="Q16" s="139"/>
      <c r="R16" s="139"/>
      <c r="S16" s="139"/>
      <c r="T16" s="139"/>
      <c r="U16" s="139"/>
      <c r="V16" s="139"/>
      <c r="W16" s="139"/>
    </row>
    <row r="17" spans="1:23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39"/>
      <c r="R17" s="139"/>
      <c r="S17" s="139"/>
      <c r="T17" s="139"/>
      <c r="U17" s="139"/>
      <c r="V17" s="139"/>
      <c r="W17" s="139"/>
    </row>
    <row r="18" spans="1:23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39"/>
      <c r="R18" s="139"/>
      <c r="S18" s="139"/>
      <c r="T18" s="139"/>
      <c r="U18" s="139"/>
      <c r="V18" s="139"/>
      <c r="W18" s="139"/>
    </row>
    <row r="19" spans="1:23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Q19" s="139"/>
      <c r="R19" s="139"/>
      <c r="S19" s="139"/>
      <c r="T19" s="139"/>
      <c r="U19" s="139"/>
      <c r="V19" s="139"/>
      <c r="W19" s="139"/>
    </row>
    <row r="20" spans="1:23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Q20" s="139"/>
      <c r="R20" s="139"/>
      <c r="S20" s="139"/>
      <c r="T20" s="139"/>
      <c r="U20" s="139"/>
      <c r="V20" s="139"/>
      <c r="W20" s="139"/>
    </row>
    <row r="21" spans="1:23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Q21" s="139"/>
      <c r="R21" s="139"/>
      <c r="S21" s="139"/>
      <c r="T21" s="139"/>
      <c r="U21" s="139"/>
      <c r="V21" s="139"/>
      <c r="W21" s="139"/>
    </row>
    <row r="22" spans="1:23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Q22" s="139"/>
      <c r="R22" s="139"/>
      <c r="S22" s="139"/>
      <c r="T22" s="139"/>
      <c r="U22" s="139"/>
      <c r="V22" s="139"/>
      <c r="W22" s="139"/>
    </row>
    <row r="23" spans="1:23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Q23" s="139"/>
      <c r="R23" s="139"/>
      <c r="S23" s="139"/>
      <c r="T23" s="139"/>
      <c r="U23" s="139"/>
      <c r="V23" s="139"/>
      <c r="W23" s="139"/>
    </row>
    <row r="24" spans="1:23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Q24" s="139"/>
      <c r="R24" s="139"/>
      <c r="S24" s="139"/>
      <c r="T24" s="139"/>
      <c r="U24" s="139"/>
      <c r="V24" s="139"/>
      <c r="W24" s="139"/>
    </row>
    <row r="25" spans="1:23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Q25" s="139"/>
      <c r="R25" s="139"/>
      <c r="S25" s="139"/>
      <c r="T25" s="139"/>
      <c r="U25" s="139"/>
      <c r="V25" s="139"/>
      <c r="W25" s="139"/>
    </row>
    <row r="26" spans="1:23">
      <c r="A26" s="139"/>
      <c r="B26" s="139"/>
      <c r="C26" s="139"/>
      <c r="D26" s="139"/>
      <c r="E26" s="139"/>
      <c r="F26" s="139"/>
      <c r="G26" s="139"/>
      <c r="I26" s="139"/>
      <c r="J26" s="139"/>
      <c r="K26" s="139"/>
      <c r="L26" s="139"/>
      <c r="M26" s="139"/>
      <c r="N26" s="139"/>
      <c r="O26" s="139"/>
      <c r="Q26" s="139"/>
      <c r="R26" s="139"/>
      <c r="S26" s="139"/>
      <c r="T26" s="139"/>
      <c r="U26" s="139"/>
      <c r="V26" s="139"/>
      <c r="W26" s="139"/>
    </row>
    <row r="27" spans="1:23">
      <c r="A27" s="139"/>
      <c r="B27" s="139"/>
      <c r="C27" s="139"/>
      <c r="D27" s="139"/>
      <c r="E27" s="139"/>
      <c r="F27" s="139"/>
      <c r="G27" s="139"/>
      <c r="I27" s="139"/>
      <c r="J27" s="139"/>
      <c r="K27" s="139"/>
      <c r="L27" s="139"/>
      <c r="M27" s="139"/>
      <c r="N27" s="139"/>
      <c r="O27" s="139"/>
      <c r="Q27" s="139"/>
      <c r="R27" s="139"/>
      <c r="S27" s="139"/>
      <c r="T27" s="139"/>
      <c r="U27" s="139"/>
      <c r="V27" s="139"/>
      <c r="W27" s="139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13" sqref="M13:T16"/>
    </sheetView>
  </sheetViews>
  <sheetFormatPr defaultColWidth="9" defaultRowHeight="14"/>
  <sheetData>
    <row r="1" spans="1:23" ht="20.399999999999999" customHeight="1">
      <c r="A1" s="162" t="s">
        <v>153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51" t="s">
        <v>154</v>
      </c>
      <c r="M1" s="152"/>
      <c r="N1" s="152"/>
      <c r="O1" s="152"/>
      <c r="P1" s="152"/>
      <c r="Q1" s="152"/>
      <c r="R1" s="153"/>
      <c r="S1" s="157" t="s">
        <v>106</v>
      </c>
      <c r="T1" s="158"/>
    </row>
    <row r="2" spans="1:23" ht="20.399999999999999" customHeight="1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54"/>
      <c r="M2" s="155"/>
      <c r="N2" s="155"/>
      <c r="O2" s="155"/>
      <c r="P2" s="155"/>
      <c r="Q2" s="155"/>
      <c r="R2" s="156"/>
      <c r="S2" s="159"/>
      <c r="T2" s="160"/>
    </row>
    <row r="3" spans="1:23" ht="20.399999999999999" customHeight="1">
      <c r="A3" s="163" t="s">
        <v>155</v>
      </c>
      <c r="B3" s="163"/>
      <c r="C3" s="1" t="s">
        <v>156</v>
      </c>
      <c r="D3" s="144">
        <v>1</v>
      </c>
      <c r="E3" s="144"/>
      <c r="F3" s="1" t="s">
        <v>157</v>
      </c>
      <c r="G3" s="144" t="s">
        <v>63</v>
      </c>
      <c r="H3" s="144"/>
      <c r="I3" s="1" t="s">
        <v>158</v>
      </c>
      <c r="J3" s="144" t="s">
        <v>84</v>
      </c>
      <c r="K3" s="144"/>
      <c r="N3" s="145" t="s">
        <v>159</v>
      </c>
      <c r="O3" s="146"/>
      <c r="P3" s="146"/>
      <c r="Q3" s="146"/>
      <c r="R3" s="146"/>
      <c r="S3" s="147"/>
    </row>
    <row r="4" spans="1:23" ht="20.399999999999999" customHeight="1">
      <c r="A4" s="163"/>
      <c r="B4" s="163"/>
      <c r="C4" s="1" t="s">
        <v>160</v>
      </c>
      <c r="D4" s="144" t="s">
        <v>11</v>
      </c>
      <c r="E4" s="144"/>
      <c r="F4" s="1" t="s">
        <v>161</v>
      </c>
      <c r="G4" s="144">
        <v>25</v>
      </c>
      <c r="H4" s="144"/>
      <c r="I4" s="1" t="s">
        <v>162</v>
      </c>
      <c r="J4" s="144" t="s">
        <v>163</v>
      </c>
      <c r="K4" s="144"/>
      <c r="N4" s="1" t="s">
        <v>164</v>
      </c>
      <c r="O4" s="1" t="s">
        <v>165</v>
      </c>
      <c r="P4" s="1" t="s">
        <v>166</v>
      </c>
      <c r="Q4" s="1" t="s">
        <v>167</v>
      </c>
      <c r="R4" s="1" t="s">
        <v>168</v>
      </c>
      <c r="S4" s="1" t="s">
        <v>169</v>
      </c>
      <c r="W4" s="21"/>
    </row>
    <row r="5" spans="1:23" ht="20.399999999999999" customHeight="1">
      <c r="A5" s="163"/>
      <c r="B5" s="163"/>
      <c r="C5" s="1" t="s">
        <v>170</v>
      </c>
      <c r="D5" s="144">
        <v>3</v>
      </c>
      <c r="E5" s="144"/>
      <c r="F5" s="1" t="s">
        <v>64</v>
      </c>
      <c r="G5" s="144">
        <v>8</v>
      </c>
      <c r="H5" s="144"/>
      <c r="I5" s="1" t="s">
        <v>171</v>
      </c>
      <c r="J5" s="144">
        <f t="array" aca="1" ref="J5" ca="1">ROUNDDOWN((20/144)*POWER(((INDIRECT("总表"&amp;"!K3")-G4)/5-12),2)+10,0)</f>
        <v>16</v>
      </c>
      <c r="K5" s="144"/>
      <c r="N5" s="2"/>
      <c r="O5" s="2"/>
      <c r="P5" s="2"/>
      <c r="Q5" s="2"/>
      <c r="R5" s="2"/>
      <c r="S5" s="2"/>
    </row>
    <row r="6" spans="1:23" ht="20.399999999999999" customHeight="1">
      <c r="A6" s="163"/>
      <c r="B6" s="163"/>
      <c r="C6" s="173" t="s">
        <v>172</v>
      </c>
      <c r="D6" s="172" t="s">
        <v>366</v>
      </c>
      <c r="E6" s="161"/>
      <c r="F6" s="161"/>
      <c r="G6" s="161"/>
      <c r="H6" s="161"/>
      <c r="I6" s="161"/>
      <c r="J6" s="161"/>
      <c r="K6" s="161"/>
      <c r="L6" s="148" t="s">
        <v>173</v>
      </c>
      <c r="M6" s="164" t="s">
        <v>174</v>
      </c>
      <c r="N6" s="165"/>
      <c r="O6" s="165"/>
      <c r="P6" s="165"/>
      <c r="Q6" s="165"/>
      <c r="R6" s="165"/>
      <c r="S6" s="165"/>
      <c r="T6" s="166"/>
    </row>
    <row r="7" spans="1:23" ht="20.399999999999999" customHeight="1">
      <c r="A7" s="163"/>
      <c r="B7" s="163"/>
      <c r="C7" s="173"/>
      <c r="D7" s="161"/>
      <c r="E7" s="161"/>
      <c r="F7" s="161"/>
      <c r="G7" s="161"/>
      <c r="H7" s="161"/>
      <c r="I7" s="161"/>
      <c r="J7" s="161"/>
      <c r="K7" s="161"/>
      <c r="L7" s="149"/>
      <c r="M7" s="167"/>
      <c r="N7" s="141"/>
      <c r="O7" s="141"/>
      <c r="P7" s="141"/>
      <c r="Q7" s="141"/>
      <c r="R7" s="141"/>
      <c r="S7" s="141"/>
      <c r="T7" s="168"/>
    </row>
    <row r="8" spans="1:23" ht="20.399999999999999" customHeight="1">
      <c r="A8" s="163"/>
      <c r="B8" s="163"/>
      <c r="C8" s="174" t="s">
        <v>175</v>
      </c>
      <c r="D8" s="161" t="s">
        <v>176</v>
      </c>
      <c r="E8" s="161"/>
      <c r="F8" s="161"/>
      <c r="G8" s="161"/>
      <c r="H8" s="161"/>
      <c r="I8" s="161"/>
      <c r="J8" s="161"/>
      <c r="K8" s="161"/>
      <c r="L8" s="149"/>
      <c r="M8" s="167"/>
      <c r="N8" s="141"/>
      <c r="O8" s="141"/>
      <c r="P8" s="141"/>
      <c r="Q8" s="141"/>
      <c r="R8" s="141"/>
      <c r="S8" s="141"/>
      <c r="T8" s="168"/>
    </row>
    <row r="9" spans="1:23" ht="20.399999999999999" customHeight="1">
      <c r="A9" s="163"/>
      <c r="B9" s="163"/>
      <c r="C9" s="174"/>
      <c r="D9" s="161"/>
      <c r="E9" s="161"/>
      <c r="F9" s="161"/>
      <c r="G9" s="161"/>
      <c r="H9" s="161"/>
      <c r="I9" s="161"/>
      <c r="J9" s="161"/>
      <c r="K9" s="161"/>
      <c r="L9" s="150"/>
      <c r="M9" s="169"/>
      <c r="N9" s="170"/>
      <c r="O9" s="170"/>
      <c r="P9" s="170"/>
      <c r="Q9" s="170"/>
      <c r="R9" s="170"/>
      <c r="S9" s="170"/>
      <c r="T9" s="171"/>
    </row>
    <row r="10" spans="1:23" ht="20.399999999999999" customHeight="1">
      <c r="A10" s="163" t="s">
        <v>177</v>
      </c>
      <c r="B10" s="163"/>
      <c r="C10" s="1" t="s">
        <v>156</v>
      </c>
      <c r="D10" s="144">
        <v>1</v>
      </c>
      <c r="E10" s="144"/>
      <c r="F10" s="1" t="s">
        <v>157</v>
      </c>
      <c r="G10" s="144" t="s">
        <v>178</v>
      </c>
      <c r="H10" s="144"/>
      <c r="I10" s="1" t="s">
        <v>158</v>
      </c>
      <c r="J10" s="144" t="s">
        <v>179</v>
      </c>
      <c r="K10" s="144"/>
      <c r="N10" s="145" t="s">
        <v>159</v>
      </c>
      <c r="O10" s="146"/>
      <c r="P10" s="146"/>
      <c r="Q10" s="146"/>
      <c r="R10" s="146"/>
      <c r="S10" s="147"/>
    </row>
    <row r="11" spans="1:23" ht="20.399999999999999" customHeight="1">
      <c r="A11" s="163"/>
      <c r="B11" s="163"/>
      <c r="C11" s="1" t="s">
        <v>160</v>
      </c>
      <c r="D11" s="144" t="s">
        <v>11</v>
      </c>
      <c r="E11" s="144"/>
      <c r="F11" s="1" t="s">
        <v>161</v>
      </c>
      <c r="G11" s="144">
        <v>35</v>
      </c>
      <c r="H11" s="144"/>
      <c r="I11" s="1" t="s">
        <v>162</v>
      </c>
      <c r="J11" s="144" t="s">
        <v>179</v>
      </c>
      <c r="K11" s="144"/>
      <c r="N11" s="1" t="s">
        <v>164</v>
      </c>
      <c r="O11" s="1" t="s">
        <v>165</v>
      </c>
      <c r="P11" s="1" t="s">
        <v>166</v>
      </c>
      <c r="Q11" s="1" t="s">
        <v>167</v>
      </c>
      <c r="R11" s="1" t="s">
        <v>168</v>
      </c>
      <c r="S11" s="1" t="s">
        <v>169</v>
      </c>
    </row>
    <row r="12" spans="1:23" ht="20.399999999999999" customHeight="1">
      <c r="A12" s="163"/>
      <c r="B12" s="163"/>
      <c r="C12" s="1" t="s">
        <v>170</v>
      </c>
      <c r="D12" s="144" t="s">
        <v>180</v>
      </c>
      <c r="E12" s="144"/>
      <c r="F12" s="1" t="s">
        <v>64</v>
      </c>
      <c r="G12" s="144">
        <v>9</v>
      </c>
      <c r="H12" s="144"/>
      <c r="I12" s="1" t="s">
        <v>171</v>
      </c>
      <c r="J12" s="144">
        <f t="array" aca="1" ref="J12" ca="1">ROUNDDOWN((20/144)*POWER(((INDIRECT("总表"&amp;"!K3")-G11)/5-12),2)+10,0)</f>
        <v>21</v>
      </c>
      <c r="K12" s="144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>
      <c r="A13" s="163"/>
      <c r="B13" s="163"/>
      <c r="C13" s="173" t="s">
        <v>172</v>
      </c>
      <c r="D13" s="161" t="s">
        <v>181</v>
      </c>
      <c r="E13" s="161"/>
      <c r="F13" s="161"/>
      <c r="G13" s="161"/>
      <c r="H13" s="161"/>
      <c r="I13" s="161"/>
      <c r="J13" s="161"/>
      <c r="K13" s="161"/>
      <c r="L13" s="148" t="s">
        <v>173</v>
      </c>
      <c r="M13" s="164" t="s">
        <v>174</v>
      </c>
      <c r="N13" s="165"/>
      <c r="O13" s="165"/>
      <c r="P13" s="165"/>
      <c r="Q13" s="165"/>
      <c r="R13" s="165"/>
      <c r="S13" s="165"/>
      <c r="T13" s="166"/>
    </row>
    <row r="14" spans="1:23" ht="20.399999999999999" customHeight="1">
      <c r="A14" s="163"/>
      <c r="B14" s="163"/>
      <c r="C14" s="173"/>
      <c r="D14" s="161"/>
      <c r="E14" s="161"/>
      <c r="F14" s="161"/>
      <c r="G14" s="161"/>
      <c r="H14" s="161"/>
      <c r="I14" s="161"/>
      <c r="J14" s="161"/>
      <c r="K14" s="161"/>
      <c r="L14" s="149"/>
      <c r="M14" s="167"/>
      <c r="N14" s="141"/>
      <c r="O14" s="141"/>
      <c r="P14" s="141"/>
      <c r="Q14" s="141"/>
      <c r="R14" s="141"/>
      <c r="S14" s="141"/>
      <c r="T14" s="168"/>
    </row>
    <row r="15" spans="1:23" ht="20.399999999999999" customHeight="1">
      <c r="A15" s="163"/>
      <c r="B15" s="163"/>
      <c r="C15" s="174" t="s">
        <v>175</v>
      </c>
      <c r="D15" s="161" t="s">
        <v>182</v>
      </c>
      <c r="E15" s="161"/>
      <c r="F15" s="161"/>
      <c r="G15" s="161"/>
      <c r="H15" s="161"/>
      <c r="I15" s="161"/>
      <c r="J15" s="161"/>
      <c r="K15" s="161"/>
      <c r="L15" s="149"/>
      <c r="M15" s="167"/>
      <c r="N15" s="141"/>
      <c r="O15" s="141"/>
      <c r="P15" s="141"/>
      <c r="Q15" s="141"/>
      <c r="R15" s="141"/>
      <c r="S15" s="141"/>
      <c r="T15" s="168"/>
    </row>
    <row r="16" spans="1:23" ht="20.399999999999999" customHeight="1">
      <c r="A16" s="163"/>
      <c r="B16" s="163"/>
      <c r="C16" s="174"/>
      <c r="D16" s="161"/>
      <c r="E16" s="161"/>
      <c r="F16" s="161"/>
      <c r="G16" s="161"/>
      <c r="H16" s="161"/>
      <c r="I16" s="161"/>
      <c r="J16" s="161"/>
      <c r="K16" s="161"/>
      <c r="L16" s="150"/>
      <c r="M16" s="169"/>
      <c r="N16" s="170"/>
      <c r="O16" s="170"/>
      <c r="P16" s="170"/>
      <c r="Q16" s="170"/>
      <c r="R16" s="170"/>
      <c r="S16" s="170"/>
      <c r="T16" s="171"/>
    </row>
    <row r="17" spans="1:1" ht="20.399999999999999" customHeight="1"/>
    <row r="18" spans="1:1" ht="20.399999999999999" customHeight="1"/>
    <row r="19" spans="1:1" ht="20.399999999999999" customHeight="1">
      <c r="A19" t="str">
        <f>G3</f>
        <v>近藤镇教</v>
      </c>
    </row>
    <row r="20" spans="1:1" ht="20.399999999999999" customHeight="1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  <mergeCell ref="L13:L16"/>
    <mergeCell ref="N10:S10"/>
    <mergeCell ref="D11:E11"/>
    <mergeCell ref="G11:H11"/>
    <mergeCell ref="J11:K11"/>
    <mergeCell ref="D12:E12"/>
    <mergeCell ref="G12:H12"/>
    <mergeCell ref="J12:K12"/>
    <mergeCell ref="D5:E5"/>
    <mergeCell ref="G5:H5"/>
    <mergeCell ref="J5:K5"/>
    <mergeCell ref="D10:E10"/>
    <mergeCell ref="G10:H10"/>
    <mergeCell ref="J10:K10"/>
    <mergeCell ref="D3:E3"/>
    <mergeCell ref="G3:H3"/>
    <mergeCell ref="J3:K3"/>
    <mergeCell ref="N3:S3"/>
    <mergeCell ref="D4:E4"/>
    <mergeCell ref="G4:H4"/>
    <mergeCell ref="J4:K4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4"/>
  <sheetData>
    <row r="1" spans="1:24" ht="20.399999999999999" customHeight="1">
      <c r="A1" s="185" t="s">
        <v>183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7"/>
      <c r="O1" s="179" t="s">
        <v>184</v>
      </c>
      <c r="P1" s="180"/>
      <c r="Q1" s="183">
        <f>FLOOR(AVERAGE(H4,H8,H12,H16),1)</f>
        <v>20</v>
      </c>
      <c r="R1" s="183"/>
      <c r="S1" s="179" t="s">
        <v>185</v>
      </c>
      <c r="T1" s="180"/>
      <c r="U1" s="183">
        <f t="array" aca="1" ref="U1" ca="1">ROUNDDOWN((15/144)*POWER(((INDIRECT("总表"&amp;"!K3")-Q1)/5-12),2)+5,0)</f>
        <v>8</v>
      </c>
      <c r="V1" s="183"/>
      <c r="W1" s="183"/>
    </row>
    <row r="2" spans="1:24" ht="20.399999999999999" customHeight="1">
      <c r="A2" s="188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90"/>
      <c r="O2" s="181"/>
      <c r="P2" s="182"/>
      <c r="Q2" s="184"/>
      <c r="R2" s="184"/>
      <c r="S2" s="181"/>
      <c r="T2" s="182"/>
      <c r="U2" s="184"/>
      <c r="V2" s="184"/>
      <c r="W2" s="184"/>
    </row>
    <row r="3" spans="1:24" ht="20.399999999999999" customHeight="1">
      <c r="A3" s="175" t="s">
        <v>93</v>
      </c>
      <c r="B3" s="174" t="s">
        <v>157</v>
      </c>
      <c r="C3" s="174"/>
      <c r="D3" s="1" t="s">
        <v>156</v>
      </c>
      <c r="E3" s="1" t="s">
        <v>186</v>
      </c>
      <c r="F3" s="1" t="s">
        <v>87</v>
      </c>
      <c r="G3" s="1" t="s">
        <v>187</v>
      </c>
      <c r="H3" s="1" t="s">
        <v>161</v>
      </c>
      <c r="I3" s="1" t="s">
        <v>164</v>
      </c>
      <c r="J3" s="1" t="s">
        <v>165</v>
      </c>
      <c r="K3" s="1" t="s">
        <v>166</v>
      </c>
      <c r="L3" s="1" t="s">
        <v>167</v>
      </c>
      <c r="M3" s="1" t="s">
        <v>168</v>
      </c>
      <c r="N3" s="1" t="s">
        <v>169</v>
      </c>
      <c r="O3" s="148" t="s">
        <v>173</v>
      </c>
      <c r="P3" s="164" t="s">
        <v>188</v>
      </c>
      <c r="Q3" s="165"/>
      <c r="R3" s="165"/>
      <c r="S3" s="165"/>
      <c r="T3" s="165"/>
      <c r="U3" s="165"/>
      <c r="V3" s="165"/>
      <c r="W3" s="166"/>
    </row>
    <row r="4" spans="1:24" ht="20.399999999999999" customHeight="1">
      <c r="A4" s="175"/>
      <c r="B4" s="174"/>
      <c r="C4" s="174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49"/>
      <c r="P4" s="167"/>
      <c r="Q4" s="141"/>
      <c r="R4" s="141"/>
      <c r="S4" s="141"/>
      <c r="T4" s="141"/>
      <c r="U4" s="141"/>
      <c r="V4" s="141"/>
      <c r="W4" s="168"/>
    </row>
    <row r="5" spans="1:24" ht="20.399999999999999" customHeight="1">
      <c r="A5" s="175"/>
      <c r="B5" s="144" t="s">
        <v>189</v>
      </c>
      <c r="C5" s="144"/>
      <c r="D5" s="145" t="s">
        <v>172</v>
      </c>
      <c r="E5" s="146"/>
      <c r="F5" s="146"/>
      <c r="G5" s="146"/>
      <c r="H5" s="146"/>
      <c r="I5" s="146"/>
      <c r="J5" s="146"/>
      <c r="K5" s="146"/>
      <c r="L5" s="146"/>
      <c r="M5" s="146"/>
      <c r="N5" s="147"/>
      <c r="O5" s="149"/>
      <c r="P5" s="167"/>
      <c r="Q5" s="141"/>
      <c r="R5" s="141"/>
      <c r="S5" s="141"/>
      <c r="T5" s="141"/>
      <c r="U5" s="141"/>
      <c r="V5" s="141"/>
      <c r="W5" s="168"/>
    </row>
    <row r="6" spans="1:24" ht="20.399999999999999" customHeight="1">
      <c r="A6" s="175"/>
      <c r="B6" s="144"/>
      <c r="C6" s="144"/>
      <c r="D6" s="176" t="s">
        <v>190</v>
      </c>
      <c r="E6" s="177"/>
      <c r="F6" s="177"/>
      <c r="G6" s="177"/>
      <c r="H6" s="177"/>
      <c r="I6" s="177"/>
      <c r="J6" s="177"/>
      <c r="K6" s="177"/>
      <c r="L6" s="177"/>
      <c r="M6" s="177"/>
      <c r="N6" s="178"/>
      <c r="O6" s="150"/>
      <c r="P6" s="169"/>
      <c r="Q6" s="170"/>
      <c r="R6" s="170"/>
      <c r="S6" s="170"/>
      <c r="T6" s="170"/>
      <c r="U6" s="170"/>
      <c r="V6" s="170"/>
      <c r="W6" s="171"/>
    </row>
    <row r="7" spans="1:24" ht="20.399999999999999" customHeight="1">
      <c r="A7" s="175" t="s">
        <v>97</v>
      </c>
      <c r="B7" s="174" t="s">
        <v>157</v>
      </c>
      <c r="C7" s="174"/>
      <c r="D7" s="1" t="s">
        <v>156</v>
      </c>
      <c r="E7" s="1" t="s">
        <v>186</v>
      </c>
      <c r="F7" s="1" t="s">
        <v>87</v>
      </c>
      <c r="G7" s="1" t="s">
        <v>187</v>
      </c>
      <c r="H7" s="1" t="s">
        <v>161</v>
      </c>
      <c r="I7" s="1" t="s">
        <v>164</v>
      </c>
      <c r="J7" s="1" t="s">
        <v>165</v>
      </c>
      <c r="K7" s="1" t="s">
        <v>166</v>
      </c>
      <c r="L7" s="1" t="s">
        <v>167</v>
      </c>
      <c r="M7" s="1" t="s">
        <v>168</v>
      </c>
      <c r="N7" s="1" t="s">
        <v>169</v>
      </c>
      <c r="O7" s="148" t="s">
        <v>173</v>
      </c>
      <c r="P7" s="164" t="s">
        <v>188</v>
      </c>
      <c r="Q7" s="165"/>
      <c r="R7" s="165"/>
      <c r="S7" s="165"/>
      <c r="T7" s="165"/>
      <c r="U7" s="165"/>
      <c r="V7" s="165"/>
      <c r="W7" s="166"/>
    </row>
    <row r="8" spans="1:24" ht="20.399999999999999" customHeight="1">
      <c r="A8" s="175"/>
      <c r="B8" s="174"/>
      <c r="C8" s="174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49"/>
      <c r="P8" s="167"/>
      <c r="Q8" s="141"/>
      <c r="R8" s="141"/>
      <c r="S8" s="141"/>
      <c r="T8" s="141"/>
      <c r="U8" s="141"/>
      <c r="V8" s="141"/>
      <c r="W8" s="168"/>
    </row>
    <row r="9" spans="1:24" ht="20.399999999999999" customHeight="1">
      <c r="A9" s="175"/>
      <c r="B9" s="144" t="s">
        <v>191</v>
      </c>
      <c r="C9" s="144"/>
      <c r="D9" s="145" t="s">
        <v>172</v>
      </c>
      <c r="E9" s="146"/>
      <c r="F9" s="146"/>
      <c r="G9" s="146"/>
      <c r="H9" s="146"/>
      <c r="I9" s="146"/>
      <c r="J9" s="146"/>
      <c r="K9" s="146"/>
      <c r="L9" s="146"/>
      <c r="M9" s="146"/>
      <c r="N9" s="147"/>
      <c r="O9" s="149"/>
      <c r="P9" s="167"/>
      <c r="Q9" s="141"/>
      <c r="R9" s="141"/>
      <c r="S9" s="141"/>
      <c r="T9" s="141"/>
      <c r="U9" s="141"/>
      <c r="V9" s="141"/>
      <c r="W9" s="168"/>
    </row>
    <row r="10" spans="1:24" ht="20.399999999999999" customHeight="1">
      <c r="A10" s="175"/>
      <c r="B10" s="144"/>
      <c r="C10" s="144"/>
      <c r="D10" s="176" t="s">
        <v>190</v>
      </c>
      <c r="E10" s="177"/>
      <c r="F10" s="177"/>
      <c r="G10" s="177"/>
      <c r="H10" s="177"/>
      <c r="I10" s="177"/>
      <c r="J10" s="177"/>
      <c r="K10" s="177"/>
      <c r="L10" s="177"/>
      <c r="M10" s="177"/>
      <c r="N10" s="178"/>
      <c r="O10" s="150"/>
      <c r="P10" s="169"/>
      <c r="Q10" s="170"/>
      <c r="R10" s="170"/>
      <c r="S10" s="170"/>
      <c r="T10" s="170"/>
      <c r="U10" s="170"/>
      <c r="V10" s="170"/>
      <c r="W10" s="171"/>
    </row>
    <row r="11" spans="1:24" ht="20.399999999999999" customHeight="1">
      <c r="A11" s="175" t="s">
        <v>99</v>
      </c>
      <c r="B11" s="174" t="s">
        <v>157</v>
      </c>
      <c r="C11" s="174"/>
      <c r="D11" s="1" t="s">
        <v>156</v>
      </c>
      <c r="E11" s="1" t="s">
        <v>186</v>
      </c>
      <c r="F11" s="1" t="s">
        <v>87</v>
      </c>
      <c r="G11" s="1" t="s">
        <v>187</v>
      </c>
      <c r="H11" s="1" t="s">
        <v>161</v>
      </c>
      <c r="I11" s="1" t="s">
        <v>164</v>
      </c>
      <c r="J11" s="1" t="s">
        <v>165</v>
      </c>
      <c r="K11" s="1" t="s">
        <v>166</v>
      </c>
      <c r="L11" s="1" t="s">
        <v>167</v>
      </c>
      <c r="M11" s="1" t="s">
        <v>168</v>
      </c>
      <c r="N11" s="1" t="s">
        <v>169</v>
      </c>
      <c r="O11" s="148" t="s">
        <v>173</v>
      </c>
      <c r="P11" s="164" t="s">
        <v>188</v>
      </c>
      <c r="Q11" s="165"/>
      <c r="R11" s="165"/>
      <c r="S11" s="165"/>
      <c r="T11" s="165"/>
      <c r="U11" s="165"/>
      <c r="V11" s="165"/>
      <c r="W11" s="166"/>
      <c r="X11" s="25"/>
    </row>
    <row r="12" spans="1:24" ht="20.399999999999999" customHeight="1">
      <c r="A12" s="175"/>
      <c r="B12" s="174"/>
      <c r="C12" s="174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49"/>
      <c r="P12" s="167"/>
      <c r="Q12" s="141"/>
      <c r="R12" s="141"/>
      <c r="S12" s="141"/>
      <c r="T12" s="141"/>
      <c r="U12" s="141"/>
      <c r="V12" s="141"/>
      <c r="W12" s="168"/>
      <c r="X12" s="9"/>
    </row>
    <row r="13" spans="1:24" ht="20.399999999999999" customHeight="1">
      <c r="A13" s="175"/>
      <c r="B13" s="144" t="s">
        <v>192</v>
      </c>
      <c r="C13" s="144"/>
      <c r="D13" s="145" t="s">
        <v>172</v>
      </c>
      <c r="E13" s="146"/>
      <c r="F13" s="146"/>
      <c r="G13" s="146"/>
      <c r="H13" s="146"/>
      <c r="I13" s="146"/>
      <c r="J13" s="146"/>
      <c r="K13" s="146"/>
      <c r="L13" s="146"/>
      <c r="M13" s="146"/>
      <c r="N13" s="147"/>
      <c r="O13" s="149"/>
      <c r="P13" s="167"/>
      <c r="Q13" s="141"/>
      <c r="R13" s="141"/>
      <c r="S13" s="141"/>
      <c r="T13" s="141"/>
      <c r="U13" s="141"/>
      <c r="V13" s="141"/>
      <c r="W13" s="168"/>
    </row>
    <row r="14" spans="1:24" ht="20.399999999999999" customHeight="1">
      <c r="A14" s="175"/>
      <c r="B14" s="144"/>
      <c r="C14" s="144"/>
      <c r="D14" s="176" t="s">
        <v>190</v>
      </c>
      <c r="E14" s="177"/>
      <c r="F14" s="177"/>
      <c r="G14" s="177"/>
      <c r="H14" s="177"/>
      <c r="I14" s="177"/>
      <c r="J14" s="177"/>
      <c r="K14" s="177"/>
      <c r="L14" s="177"/>
      <c r="M14" s="177"/>
      <c r="N14" s="178"/>
      <c r="O14" s="150"/>
      <c r="P14" s="169"/>
      <c r="Q14" s="170"/>
      <c r="R14" s="170"/>
      <c r="S14" s="170"/>
      <c r="T14" s="170"/>
      <c r="U14" s="170"/>
      <c r="V14" s="170"/>
      <c r="W14" s="171"/>
    </row>
    <row r="15" spans="1:24" ht="20.399999999999999" customHeight="1">
      <c r="A15" s="175" t="s">
        <v>102</v>
      </c>
      <c r="B15" s="174" t="s">
        <v>157</v>
      </c>
      <c r="C15" s="174"/>
      <c r="D15" s="1" t="s">
        <v>156</v>
      </c>
      <c r="E15" s="1" t="s">
        <v>186</v>
      </c>
      <c r="F15" s="1" t="s">
        <v>87</v>
      </c>
      <c r="G15" s="1" t="s">
        <v>187</v>
      </c>
      <c r="H15" s="1" t="s">
        <v>161</v>
      </c>
      <c r="I15" s="1" t="s">
        <v>164</v>
      </c>
      <c r="J15" s="1" t="s">
        <v>165</v>
      </c>
      <c r="K15" s="1" t="s">
        <v>166</v>
      </c>
      <c r="L15" s="1" t="s">
        <v>167</v>
      </c>
      <c r="M15" s="1" t="s">
        <v>168</v>
      </c>
      <c r="N15" s="1" t="s">
        <v>169</v>
      </c>
      <c r="O15" s="148" t="s">
        <v>173</v>
      </c>
      <c r="P15" s="164" t="s">
        <v>188</v>
      </c>
      <c r="Q15" s="165"/>
      <c r="R15" s="165"/>
      <c r="S15" s="165"/>
      <c r="T15" s="165"/>
      <c r="U15" s="165"/>
      <c r="V15" s="165"/>
      <c r="W15" s="166"/>
    </row>
    <row r="16" spans="1:24" ht="20.399999999999999" customHeight="1">
      <c r="A16" s="175"/>
      <c r="B16" s="174"/>
      <c r="C16" s="174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49"/>
      <c r="P16" s="167"/>
      <c r="Q16" s="141"/>
      <c r="R16" s="141"/>
      <c r="S16" s="141"/>
      <c r="T16" s="141"/>
      <c r="U16" s="141"/>
      <c r="V16" s="141"/>
      <c r="W16" s="168"/>
    </row>
    <row r="17" spans="1:23" ht="20.399999999999999" customHeight="1">
      <c r="A17" s="175"/>
      <c r="B17" s="144" t="s">
        <v>193</v>
      </c>
      <c r="C17" s="144"/>
      <c r="D17" s="145" t="s">
        <v>172</v>
      </c>
      <c r="E17" s="146"/>
      <c r="F17" s="146"/>
      <c r="G17" s="146"/>
      <c r="H17" s="146"/>
      <c r="I17" s="146"/>
      <c r="J17" s="146"/>
      <c r="K17" s="146"/>
      <c r="L17" s="146"/>
      <c r="M17" s="146"/>
      <c r="N17" s="147"/>
      <c r="O17" s="149"/>
      <c r="P17" s="167"/>
      <c r="Q17" s="141"/>
      <c r="R17" s="141"/>
      <c r="S17" s="141"/>
      <c r="T17" s="141"/>
      <c r="U17" s="141"/>
      <c r="V17" s="141"/>
      <c r="W17" s="168"/>
    </row>
    <row r="18" spans="1:23" ht="20.399999999999999" customHeight="1">
      <c r="A18" s="175"/>
      <c r="B18" s="144"/>
      <c r="C18" s="144"/>
      <c r="D18" s="176" t="s">
        <v>190</v>
      </c>
      <c r="E18" s="177"/>
      <c r="F18" s="177"/>
      <c r="G18" s="177"/>
      <c r="H18" s="177"/>
      <c r="I18" s="177"/>
      <c r="J18" s="177"/>
      <c r="K18" s="177"/>
      <c r="L18" s="177"/>
      <c r="M18" s="177"/>
      <c r="N18" s="178"/>
      <c r="O18" s="150"/>
      <c r="P18" s="169"/>
      <c r="Q18" s="170"/>
      <c r="R18" s="170"/>
      <c r="S18" s="170"/>
      <c r="T18" s="170"/>
      <c r="U18" s="170"/>
      <c r="V18" s="170"/>
      <c r="W18" s="171"/>
    </row>
    <row r="19" spans="1:23" ht="20.399999999999999" customHeight="1"/>
    <row r="20" spans="1:23" ht="20.399999999999999" customHeight="1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:N2"/>
    <mergeCell ref="B3:C4"/>
    <mergeCell ref="B9:C10"/>
    <mergeCell ref="B11:C12"/>
    <mergeCell ref="B5:C6"/>
    <mergeCell ref="B7:C8"/>
    <mergeCell ref="A3:A6"/>
    <mergeCell ref="A7:A10"/>
    <mergeCell ref="A11:A14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H10" sqref="H10"/>
    </sheetView>
  </sheetViews>
  <sheetFormatPr defaultColWidth="9" defaultRowHeight="14"/>
  <cols>
    <col min="2" max="2" width="8.9140625" customWidth="1"/>
  </cols>
  <sheetData>
    <row r="1" spans="1:32" ht="15" customHeight="1">
      <c r="A1" s="196" t="s">
        <v>78</v>
      </c>
      <c r="B1" s="196"/>
      <c r="C1" s="196"/>
      <c r="D1" s="196"/>
      <c r="E1" s="196"/>
      <c r="F1" s="196"/>
      <c r="G1" s="196"/>
      <c r="H1" s="196"/>
      <c r="I1" s="196"/>
      <c r="J1" s="196"/>
      <c r="L1" s="196" t="s">
        <v>194</v>
      </c>
      <c r="M1" s="196"/>
      <c r="N1" s="196"/>
      <c r="O1" s="196"/>
      <c r="P1" s="196"/>
      <c r="Q1" s="196"/>
      <c r="R1" s="196"/>
      <c r="S1" s="196"/>
      <c r="T1" s="196"/>
      <c r="U1" s="196"/>
      <c r="W1" s="196" t="s">
        <v>195</v>
      </c>
      <c r="X1" s="196"/>
      <c r="Y1" s="196"/>
      <c r="Z1" s="196"/>
      <c r="AA1" s="196"/>
      <c r="AB1" s="196"/>
      <c r="AC1" s="196"/>
      <c r="AD1" s="196"/>
      <c r="AE1" s="196"/>
      <c r="AF1" s="196"/>
    </row>
    <row r="2" spans="1:32" ht="15" customHeight="1">
      <c r="A2" s="196"/>
      <c r="B2" s="196"/>
      <c r="C2" s="196"/>
      <c r="D2" s="196"/>
      <c r="E2" s="196"/>
      <c r="F2" s="196"/>
      <c r="G2" s="196"/>
      <c r="H2" s="196"/>
      <c r="I2" s="196"/>
      <c r="J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</row>
    <row r="3" spans="1:32">
      <c r="A3" s="1" t="s">
        <v>157</v>
      </c>
      <c r="B3" s="1" t="s">
        <v>160</v>
      </c>
      <c r="C3" s="1" t="s">
        <v>196</v>
      </c>
      <c r="D3" s="1" t="s">
        <v>197</v>
      </c>
      <c r="E3" s="1" t="s">
        <v>198</v>
      </c>
      <c r="F3" s="1" t="s">
        <v>199</v>
      </c>
      <c r="G3" s="1" t="s">
        <v>81</v>
      </c>
      <c r="H3" s="174" t="s">
        <v>200</v>
      </c>
      <c r="I3" s="174"/>
      <c r="J3" s="174"/>
      <c r="L3" s="1" t="s">
        <v>157</v>
      </c>
      <c r="M3" s="1" t="s">
        <v>160</v>
      </c>
      <c r="N3" s="1" t="s">
        <v>196</v>
      </c>
      <c r="O3" s="1" t="s">
        <v>197</v>
      </c>
      <c r="P3" s="1" t="s">
        <v>198</v>
      </c>
      <c r="Q3" s="1" t="s">
        <v>199</v>
      </c>
      <c r="R3" s="1" t="s">
        <v>81</v>
      </c>
      <c r="S3" s="174" t="s">
        <v>200</v>
      </c>
      <c r="T3" s="174"/>
      <c r="U3" s="174"/>
      <c r="W3" s="1" t="s">
        <v>157</v>
      </c>
      <c r="X3" s="1" t="s">
        <v>160</v>
      </c>
      <c r="Y3" s="1" t="s">
        <v>196</v>
      </c>
      <c r="Z3" s="1" t="s">
        <v>197</v>
      </c>
      <c r="AA3" s="1" t="s">
        <v>198</v>
      </c>
      <c r="AB3" s="1" t="s">
        <v>199</v>
      </c>
      <c r="AC3" s="1" t="s">
        <v>81</v>
      </c>
      <c r="AD3" s="174" t="s">
        <v>200</v>
      </c>
      <c r="AE3" s="174"/>
      <c r="AF3" s="174"/>
    </row>
    <row r="4" spans="1:32">
      <c r="A4" s="191" t="s">
        <v>11</v>
      </c>
      <c r="B4" s="177"/>
      <c r="C4" s="177"/>
      <c r="D4" s="177"/>
      <c r="E4" s="177"/>
      <c r="F4" s="177"/>
      <c r="G4" s="177"/>
      <c r="H4" s="177"/>
      <c r="I4" s="177"/>
      <c r="J4" s="178"/>
      <c r="L4" s="191" t="s">
        <v>201</v>
      </c>
      <c r="M4" s="177"/>
      <c r="N4" s="177"/>
      <c r="O4" s="177"/>
      <c r="P4" s="177"/>
      <c r="Q4" s="177"/>
      <c r="R4" s="177"/>
      <c r="S4" s="177"/>
      <c r="T4" s="177"/>
      <c r="U4" s="178"/>
      <c r="W4" s="2" t="s">
        <v>202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>
      <c r="A5" s="2" t="s">
        <v>75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203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204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>
      <c r="A6" s="2" t="s">
        <v>205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206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207</v>
      </c>
      <c r="X6" s="2" t="s">
        <v>46</v>
      </c>
      <c r="Y6" s="2">
        <f t="shared" ca="1" si="3"/>
        <v>30</v>
      </c>
      <c r="Z6" s="194">
        <v>1</v>
      </c>
      <c r="AA6" s="2"/>
      <c r="AB6" s="2"/>
      <c r="AC6" s="3">
        <f t="shared" ca="1" si="4"/>
        <v>31</v>
      </c>
      <c r="AD6" s="194">
        <v>0</v>
      </c>
      <c r="AE6" s="194" t="s">
        <v>23</v>
      </c>
      <c r="AF6" s="194" t="str">
        <f t="shared" si="0"/>
        <v>6</v>
      </c>
    </row>
    <row r="7" spans="1:32">
      <c r="A7" s="2" t="s">
        <v>208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209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210</v>
      </c>
      <c r="X7" s="2" t="s">
        <v>211</v>
      </c>
      <c r="Y7" s="2">
        <f>坐骑!F4</f>
        <v>25</v>
      </c>
      <c r="Z7" s="195"/>
      <c r="AA7" s="2"/>
      <c r="AB7" s="2"/>
      <c r="AC7" s="3">
        <f>IF(SUM(Y7,Z6,AA7)&lt;=50,SUM(Y7,Z6,AA7),IF(SUM(Y7,Z6,AA7)&lt;=80,(SUM(Y7,Z6,AA7)-50)*0.7+50,(SUM(Y7,Z6,AA7)-80)*0.4+71))+AB7</f>
        <v>26</v>
      </c>
      <c r="AD7" s="195"/>
      <c r="AE7" s="195"/>
      <c r="AF7" s="195"/>
    </row>
    <row r="8" spans="1:32">
      <c r="A8" s="191" t="s">
        <v>31</v>
      </c>
      <c r="B8" s="192"/>
      <c r="C8" s="192"/>
      <c r="D8" s="192"/>
      <c r="E8" s="192"/>
      <c r="F8" s="192"/>
      <c r="G8" s="192"/>
      <c r="H8" s="192"/>
      <c r="I8" s="192"/>
      <c r="J8" s="193"/>
      <c r="L8" s="2" t="s">
        <v>212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>
      <c r="A9" s="2" t="s">
        <v>76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213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>
      <c r="A10" s="2" t="s">
        <v>214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91" t="s">
        <v>215</v>
      </c>
      <c r="M10" s="192"/>
      <c r="N10" s="192"/>
      <c r="O10" s="192"/>
      <c r="P10" s="192"/>
      <c r="Q10" s="192"/>
      <c r="R10" s="192"/>
      <c r="S10" s="192"/>
      <c r="T10" s="192"/>
      <c r="U10" s="193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>
      <c r="A11" s="2" t="s">
        <v>216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217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>
      <c r="A12" s="2" t="s">
        <v>218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219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>
      <c r="A13" s="2" t="s">
        <v>220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221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>
      <c r="A14" s="191" t="s">
        <v>40</v>
      </c>
      <c r="B14" s="192"/>
      <c r="C14" s="192"/>
      <c r="D14" s="192"/>
      <c r="E14" s="192"/>
      <c r="F14" s="192"/>
      <c r="G14" s="192"/>
      <c r="H14" s="192"/>
      <c r="I14" s="192"/>
      <c r="J14" s="193"/>
      <c r="L14" s="2" t="s">
        <v>222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>
      <c r="A15" s="2" t="s">
        <v>223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91" t="s">
        <v>224</v>
      </c>
      <c r="M15" s="192"/>
      <c r="N15" s="192"/>
      <c r="O15" s="192"/>
      <c r="P15" s="192"/>
      <c r="Q15" s="192"/>
      <c r="R15" s="192"/>
      <c r="S15" s="192"/>
      <c r="T15" s="192"/>
      <c r="U15" s="193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>
      <c r="A16" s="2" t="s">
        <v>225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226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>
      <c r="A17" s="2" t="s">
        <v>79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1</v>
      </c>
      <c r="E17" s="2"/>
      <c r="F17" s="2"/>
      <c r="G17" s="3">
        <f t="shared" ca="1" si="14"/>
        <v>41</v>
      </c>
      <c r="H17" s="2">
        <v>0</v>
      </c>
      <c r="I17" s="2" t="s">
        <v>23</v>
      </c>
      <c r="J17" s="2" t="str">
        <f t="shared" si="13"/>
        <v>6</v>
      </c>
      <c r="L17" s="2" t="s">
        <v>227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>
      <c r="A18" s="2" t="s">
        <v>228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229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>
      <c r="A19" s="191" t="s">
        <v>46</v>
      </c>
      <c r="B19" s="192"/>
      <c r="C19" s="192"/>
      <c r="D19" s="192"/>
      <c r="E19" s="192"/>
      <c r="F19" s="192"/>
      <c r="G19" s="192"/>
      <c r="H19" s="192"/>
      <c r="I19" s="192"/>
      <c r="J19" s="193"/>
      <c r="L19" s="2" t="s">
        <v>230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>
      <c r="A20" s="2" t="s">
        <v>231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232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>
      <c r="A21" s="2" t="s">
        <v>59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91" t="s">
        <v>233</v>
      </c>
      <c r="M21" s="192"/>
      <c r="N21" s="192"/>
      <c r="O21" s="192"/>
      <c r="P21" s="192"/>
      <c r="Q21" s="192"/>
      <c r="R21" s="192"/>
      <c r="S21" s="192"/>
      <c r="T21" s="192"/>
      <c r="U21" s="193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>
      <c r="A22" s="2" t="s">
        <v>234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179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>
      <c r="A23" s="2" t="s">
        <v>235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84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>
      <c r="A24" s="2" t="s">
        <v>236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237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ht="15" thickTop="1" thickBot="1">
      <c r="A25" s="2" t="s">
        <v>238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239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ht="15" thickTop="1" thickBot="1">
      <c r="A26" s="191" t="s">
        <v>55</v>
      </c>
      <c r="B26" s="192"/>
      <c r="C26" s="192"/>
      <c r="D26" s="192"/>
      <c r="E26" s="192"/>
      <c r="F26" s="192"/>
      <c r="G26" s="192"/>
      <c r="H26" s="192"/>
      <c r="I26" s="192"/>
      <c r="J26" s="193"/>
      <c r="L26" s="2" t="s">
        <v>244</v>
      </c>
      <c r="M26" s="2" t="s">
        <v>11</v>
      </c>
      <c r="N26" s="2">
        <f ca="1">LOOKUP(INDIRECT("rc[-1]",),INDIRECT("总表"&amp;"!A29:A34"),INDIRECT("总表"&amp;"!B29:B34"))</f>
        <v>50</v>
      </c>
      <c r="O26" s="2">
        <v>1</v>
      </c>
      <c r="P26" s="2"/>
      <c r="Q26" s="2"/>
      <c r="R26" s="3">
        <f ca="1">IF(SUM(N26:P26)&lt;=50,SUM(N26:P26),IF(SUM(N26:P26)&lt;=80,(SUM(N26:P26)-50)*0.7+50,(SUM(N26:P26)-80)*0.4+71))+Q26</f>
        <v>50.7</v>
      </c>
      <c r="S26" s="2">
        <v>0</v>
      </c>
      <c r="T26" s="2" t="s">
        <v>23</v>
      </c>
      <c r="U26" s="2" t="str">
        <f>IF(O26&lt;10,"6",IF(O26&lt;20,"9",IF(O26&lt;30,"12",18)))</f>
        <v>6</v>
      </c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ht="15" thickTop="1" thickBot="1">
      <c r="A27" s="2" t="s">
        <v>241</v>
      </c>
      <c r="B27" s="2" t="s">
        <v>55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191" t="s">
        <v>240</v>
      </c>
      <c r="M27" s="192"/>
      <c r="N27" s="192"/>
      <c r="O27" s="192"/>
      <c r="P27" s="192"/>
      <c r="Q27" s="192"/>
      <c r="R27" s="192"/>
      <c r="S27" s="192"/>
      <c r="T27" s="192"/>
      <c r="U27" s="193"/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ht="15" thickTop="1" thickBot="1">
      <c r="A28" s="2" t="s">
        <v>243</v>
      </c>
      <c r="B28" s="2" t="s">
        <v>55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242</v>
      </c>
      <c r="M28" s="2" t="s">
        <v>11</v>
      </c>
      <c r="N28" s="2">
        <f ca="1">LOOKUP(INDIRECT("rc[-1]",),INDIRECT("总表"&amp;"!A29:A34"),INDIRECT("总表"&amp;"!B29:B34"))</f>
        <v>50</v>
      </c>
      <c r="O28" s="2">
        <v>1</v>
      </c>
      <c r="P28" s="2"/>
      <c r="Q28" s="2"/>
      <c r="R28" s="3">
        <f ca="1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>IF(O28&lt;10,"6",IF(O28&lt;20,"9",IF(O28&lt;30,"12",18)))</f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ht="15" thickTop="1" thickBot="1">
      <c r="A29" s="2" t="s">
        <v>245</v>
      </c>
      <c r="B29" s="2" t="s">
        <v>55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246</v>
      </c>
      <c r="M29" s="2" t="s">
        <v>11</v>
      </c>
      <c r="N29" s="2">
        <f t="shared" ref="N29:N30" ca="1" si="25">LOOKUP(INDIRECT("rc[-1]",),INDIRECT("总表"&amp;"!A29:A34"),INDIRECT("总表"&amp;"!B29:B34"))</f>
        <v>50</v>
      </c>
      <c r="O29" s="2">
        <v>1</v>
      </c>
      <c r="P29" s="2"/>
      <c r="Q29" s="2"/>
      <c r="R29" s="3">
        <f t="shared" ref="R29:R30" ca="1" si="26">IF(SUM(N29:P29)&lt;=50,SUM(N29:P29),IF(SUM(N29:P29)&lt;=80,(SUM(N29:P29)-50)*0.7+50,(SUM(N29:P29)-80)*0.4+71))+Q29</f>
        <v>50.7</v>
      </c>
      <c r="S29" s="2">
        <v>0</v>
      </c>
      <c r="T29" s="2" t="s">
        <v>23</v>
      </c>
      <c r="U29" s="2" t="str">
        <f t="shared" si="2"/>
        <v>6</v>
      </c>
    </row>
    <row r="30" spans="1:32">
      <c r="A30" s="191" t="s">
        <v>61</v>
      </c>
      <c r="B30" s="192"/>
      <c r="C30" s="192"/>
      <c r="D30" s="192"/>
      <c r="E30" s="192"/>
      <c r="F30" s="192"/>
      <c r="G30" s="192"/>
      <c r="H30" s="192"/>
      <c r="I30" s="192"/>
      <c r="J30" s="193"/>
      <c r="L30" s="2" t="s">
        <v>247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>
      <c r="A31" s="2" t="s">
        <v>248</v>
      </c>
      <c r="B31" s="2" t="s">
        <v>61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91" t="s">
        <v>249</v>
      </c>
      <c r="M31" s="192"/>
      <c r="N31" s="192"/>
      <c r="O31" s="192"/>
      <c r="P31" s="192"/>
      <c r="Q31" s="192"/>
      <c r="R31" s="192"/>
      <c r="S31" s="192"/>
      <c r="T31" s="192"/>
      <c r="U31" s="193"/>
    </row>
    <row r="32" spans="1:32">
      <c r="A32" s="2" t="s">
        <v>250</v>
      </c>
      <c r="B32" s="2" t="s">
        <v>61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251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>
      <c r="L33" s="2" t="s">
        <v>252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>
      <c r="L34" s="2" t="s">
        <v>253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27:Q27 AD5:AD28 AA5:AB28 S27 O30 O32:O34 S32:S34 S5:S25 S26 O5:Q25 O26:Q26 O28:Q28 O29:Q29 S28 S29:S30" name="武器熟练度区域_1"/>
    <protectedRange sqref="D20:F25 H20:H25 H5:H7 D5:F7 H9:H13 D9:F13 H15:H18 D15:F18 H27:H29 D27:F29 D31:F32 H31:H32 J5:J32 U27 AF4:AF28 U32:U34 U5:U25 U28:U30 U26" name="泛用技能区域_2"/>
  </protectedRanges>
  <sortState xmlns:xlrd2="http://schemas.microsoft.com/office/spreadsheetml/2017/richdata2" ref="L5:U29">
    <sortCondition ref="L5:L29"/>
  </sortState>
  <mergeCells count="22"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  <mergeCell ref="L21:U21"/>
    <mergeCell ref="A26:J26"/>
    <mergeCell ref="L27:U27"/>
    <mergeCell ref="A30:J30"/>
    <mergeCell ref="L31:U31"/>
    <mergeCell ref="A8:J8"/>
    <mergeCell ref="L10:U10"/>
    <mergeCell ref="A14:J14"/>
    <mergeCell ref="L15:U15"/>
    <mergeCell ref="A19:J19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R11" sqref="R11:V12"/>
    </sheetView>
  </sheetViews>
  <sheetFormatPr defaultColWidth="9" defaultRowHeight="20.399999999999999" customHeight="1"/>
  <cols>
    <col min="12" max="12" width="9.25"/>
  </cols>
  <sheetData>
    <row r="1" spans="1:22" ht="20.399999999999999" customHeight="1">
      <c r="A1" s="196" t="s">
        <v>254</v>
      </c>
      <c r="B1" s="196"/>
      <c r="C1" s="196"/>
      <c r="D1" s="196"/>
      <c r="E1" s="196"/>
      <c r="F1" s="196"/>
      <c r="G1" s="196"/>
    </row>
    <row r="2" spans="1:22" ht="20.399999999999999" customHeight="1">
      <c r="A2" s="196"/>
      <c r="B2" s="196"/>
      <c r="C2" s="196"/>
      <c r="D2" s="196"/>
      <c r="E2" s="196"/>
      <c r="F2" s="196"/>
      <c r="G2" s="196"/>
    </row>
    <row r="3" spans="1:22" ht="20.399999999999999" customHeight="1">
      <c r="A3" s="145" t="s">
        <v>255</v>
      </c>
      <c r="B3" s="147"/>
      <c r="C3" s="145">
        <f ca="1">IF(总表!C36=1,INT(INDIRECT("各种技能"&amp;"!G21")/6),INT(INDIRECT("各种技能"&amp;"!G21")/8))</f>
        <v>3</v>
      </c>
      <c r="D3" s="146"/>
      <c r="E3" s="146"/>
      <c r="F3" s="146"/>
      <c r="G3" s="147"/>
    </row>
    <row r="4" spans="1:22" ht="20.399999999999999" customHeight="1">
      <c r="A4" s="1" t="s">
        <v>157</v>
      </c>
      <c r="B4" s="1" t="s">
        <v>156</v>
      </c>
      <c r="C4" s="145" t="s">
        <v>256</v>
      </c>
      <c r="D4" s="146"/>
      <c r="E4" s="146"/>
      <c r="F4" s="146"/>
      <c r="G4" s="147"/>
      <c r="H4" s="145" t="s">
        <v>257</v>
      </c>
      <c r="I4" s="146"/>
      <c r="J4" s="146"/>
      <c r="K4" s="146"/>
      <c r="L4" s="147"/>
      <c r="M4" s="145" t="s">
        <v>258</v>
      </c>
      <c r="N4" s="146"/>
      <c r="O4" s="146"/>
      <c r="P4" s="146"/>
      <c r="Q4" s="147"/>
      <c r="R4" s="145" t="s">
        <v>259</v>
      </c>
      <c r="S4" s="146"/>
      <c r="T4" s="146"/>
      <c r="U4" s="146"/>
      <c r="V4" s="147"/>
    </row>
    <row r="5" spans="1:22" ht="20.399999999999999" customHeight="1">
      <c r="A5" s="144" t="s">
        <v>60</v>
      </c>
      <c r="B5" s="144" t="s">
        <v>116</v>
      </c>
      <c r="C5" s="197" t="s">
        <v>260</v>
      </c>
      <c r="D5" s="198"/>
      <c r="E5" s="198"/>
      <c r="F5" s="198"/>
      <c r="G5" s="199"/>
      <c r="H5" s="164" t="s">
        <v>261</v>
      </c>
      <c r="I5" s="165"/>
      <c r="J5" s="165"/>
      <c r="K5" s="165"/>
      <c r="L5" s="166"/>
      <c r="M5" s="164" t="s">
        <v>262</v>
      </c>
      <c r="N5" s="165"/>
      <c r="O5" s="165"/>
      <c r="P5" s="165"/>
      <c r="Q5" s="166"/>
      <c r="R5" s="164" t="s">
        <v>263</v>
      </c>
      <c r="S5" s="165"/>
      <c r="T5" s="165"/>
      <c r="U5" s="165"/>
      <c r="V5" s="166"/>
    </row>
    <row r="6" spans="1:22" ht="20.399999999999999" customHeight="1">
      <c r="A6" s="144"/>
      <c r="B6" s="144"/>
      <c r="C6" s="200"/>
      <c r="D6" s="201"/>
      <c r="E6" s="201"/>
      <c r="F6" s="201"/>
      <c r="G6" s="202"/>
      <c r="H6" s="169"/>
      <c r="I6" s="170"/>
      <c r="J6" s="170"/>
      <c r="K6" s="170"/>
      <c r="L6" s="171"/>
      <c r="M6" s="169"/>
      <c r="N6" s="170"/>
      <c r="O6" s="170"/>
      <c r="P6" s="170"/>
      <c r="Q6" s="171"/>
      <c r="R6" s="169"/>
      <c r="S6" s="170"/>
      <c r="T6" s="170"/>
      <c r="U6" s="170"/>
      <c r="V6" s="171"/>
    </row>
    <row r="7" spans="1:22" ht="20.399999999999999" customHeight="1">
      <c r="A7" s="144" t="s">
        <v>65</v>
      </c>
      <c r="B7" s="144" t="s">
        <v>116</v>
      </c>
      <c r="C7" s="197" t="s">
        <v>264</v>
      </c>
      <c r="D7" s="198" t="s">
        <v>265</v>
      </c>
      <c r="E7" s="198"/>
      <c r="F7" s="198"/>
      <c r="G7" s="199"/>
      <c r="H7" s="164" t="s">
        <v>266</v>
      </c>
      <c r="I7" s="165"/>
      <c r="J7" s="165"/>
      <c r="K7" s="165"/>
      <c r="L7" s="166"/>
      <c r="M7" s="164" t="s">
        <v>267</v>
      </c>
      <c r="N7" s="165"/>
      <c r="O7" s="165"/>
      <c r="P7" s="165"/>
      <c r="Q7" s="166"/>
      <c r="R7" s="203" t="s">
        <v>367</v>
      </c>
      <c r="S7" s="165"/>
      <c r="T7" s="165"/>
      <c r="U7" s="165"/>
      <c r="V7" s="166"/>
    </row>
    <row r="8" spans="1:22" ht="20.399999999999999" customHeight="1">
      <c r="A8" s="144"/>
      <c r="B8" s="144"/>
      <c r="C8" s="200"/>
      <c r="D8" s="201"/>
      <c r="E8" s="201"/>
      <c r="F8" s="201"/>
      <c r="G8" s="202"/>
      <c r="H8" s="169"/>
      <c r="I8" s="170"/>
      <c r="J8" s="170"/>
      <c r="K8" s="170"/>
      <c r="L8" s="171"/>
      <c r="M8" s="169"/>
      <c r="N8" s="170"/>
      <c r="O8" s="170"/>
      <c r="P8" s="170"/>
      <c r="Q8" s="171"/>
      <c r="R8" s="169"/>
      <c r="S8" s="170"/>
      <c r="T8" s="170"/>
      <c r="U8" s="170"/>
      <c r="V8" s="171"/>
    </row>
    <row r="9" spans="1:22" ht="20.399999999999999" customHeight="1">
      <c r="A9" s="144" t="s">
        <v>268</v>
      </c>
      <c r="B9" s="144" t="s">
        <v>116</v>
      </c>
      <c r="C9" s="197" t="s">
        <v>269</v>
      </c>
      <c r="D9" s="198"/>
      <c r="E9" s="198"/>
      <c r="F9" s="198"/>
      <c r="G9" s="199"/>
      <c r="H9" s="164" t="s">
        <v>270</v>
      </c>
      <c r="I9" s="165"/>
      <c r="J9" s="165"/>
      <c r="K9" s="165"/>
      <c r="L9" s="166"/>
      <c r="M9" s="164" t="s">
        <v>271</v>
      </c>
      <c r="N9" s="165"/>
      <c r="O9" s="165"/>
      <c r="P9" s="165"/>
      <c r="Q9" s="166"/>
      <c r="R9" s="164" t="s">
        <v>272</v>
      </c>
      <c r="S9" s="165"/>
      <c r="T9" s="165"/>
      <c r="U9" s="165"/>
      <c r="V9" s="166"/>
    </row>
    <row r="10" spans="1:22" ht="20.399999999999999" customHeight="1">
      <c r="A10" s="144"/>
      <c r="B10" s="144"/>
      <c r="C10" s="200"/>
      <c r="D10" s="201"/>
      <c r="E10" s="201"/>
      <c r="F10" s="201"/>
      <c r="G10" s="202"/>
      <c r="H10" s="169"/>
      <c r="I10" s="170"/>
      <c r="J10" s="170"/>
      <c r="K10" s="170"/>
      <c r="L10" s="171"/>
      <c r="M10" s="169"/>
      <c r="N10" s="170"/>
      <c r="O10" s="170"/>
      <c r="P10" s="170"/>
      <c r="Q10" s="171"/>
      <c r="R10" s="169"/>
      <c r="S10" s="170"/>
      <c r="T10" s="170"/>
      <c r="U10" s="170"/>
      <c r="V10" s="171"/>
    </row>
    <row r="11" spans="1:22" ht="20.399999999999999" customHeight="1">
      <c r="A11" s="144" t="s">
        <v>82</v>
      </c>
      <c r="B11" s="144" t="s">
        <v>116</v>
      </c>
      <c r="C11" s="197" t="s">
        <v>348</v>
      </c>
      <c r="D11" s="198"/>
      <c r="E11" s="198"/>
      <c r="F11" s="198"/>
      <c r="G11" s="199"/>
      <c r="H11" s="164" t="s">
        <v>273</v>
      </c>
      <c r="I11" s="165"/>
      <c r="J11" s="165"/>
      <c r="K11" s="165"/>
      <c r="L11" s="166"/>
      <c r="M11" s="164" t="s">
        <v>274</v>
      </c>
      <c r="N11" s="165"/>
      <c r="O11" s="165"/>
      <c r="P11" s="165"/>
      <c r="Q11" s="166"/>
      <c r="R11" s="164" t="s">
        <v>349</v>
      </c>
      <c r="S11" s="165"/>
      <c r="T11" s="165"/>
      <c r="U11" s="165"/>
      <c r="V11" s="166"/>
    </row>
    <row r="12" spans="1:22" ht="20.399999999999999" customHeight="1">
      <c r="A12" s="144"/>
      <c r="B12" s="144"/>
      <c r="C12" s="200"/>
      <c r="D12" s="201"/>
      <c r="E12" s="201"/>
      <c r="F12" s="201"/>
      <c r="G12" s="202"/>
      <c r="H12" s="169"/>
      <c r="I12" s="170"/>
      <c r="J12" s="170"/>
      <c r="K12" s="170"/>
      <c r="L12" s="171"/>
      <c r="M12" s="169"/>
      <c r="N12" s="170"/>
      <c r="O12" s="170"/>
      <c r="P12" s="170"/>
      <c r="Q12" s="171"/>
      <c r="R12" s="169"/>
      <c r="S12" s="170"/>
      <c r="T12" s="170"/>
      <c r="U12" s="170"/>
      <c r="V12" s="171"/>
    </row>
    <row r="13" spans="1:22" ht="20.399999999999999" customHeight="1">
      <c r="A13" s="196" t="s">
        <v>275</v>
      </c>
      <c r="B13" s="196"/>
      <c r="C13" s="196"/>
      <c r="D13" s="196"/>
      <c r="E13" s="196"/>
      <c r="F13" s="196"/>
      <c r="G13" s="196"/>
      <c r="H13" s="196" t="s">
        <v>276</v>
      </c>
      <c r="I13" s="196"/>
      <c r="J13" s="196"/>
      <c r="K13" s="196"/>
      <c r="L13" s="196"/>
      <c r="M13" s="196"/>
      <c r="N13" s="196"/>
      <c r="O13" s="196" t="s">
        <v>276</v>
      </c>
      <c r="P13" s="196"/>
      <c r="Q13" s="196"/>
      <c r="R13" s="196"/>
      <c r="S13" s="196"/>
      <c r="T13" s="196"/>
      <c r="U13" s="196"/>
    </row>
    <row r="14" spans="1:22" ht="20.399999999999999" customHeight="1">
      <c r="A14" s="196"/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</row>
    <row r="15" spans="1:22" ht="20.399999999999999" customHeight="1">
      <c r="A15" s="1" t="s">
        <v>157</v>
      </c>
      <c r="B15" s="1" t="s">
        <v>158</v>
      </c>
      <c r="C15" s="1" t="s">
        <v>277</v>
      </c>
      <c r="D15" s="174" t="s">
        <v>278</v>
      </c>
      <c r="E15" s="174"/>
      <c r="F15" s="174"/>
      <c r="G15" s="174"/>
      <c r="H15" s="1" t="s">
        <v>157</v>
      </c>
      <c r="I15" s="1" t="s">
        <v>158</v>
      </c>
      <c r="J15" s="1" t="s">
        <v>277</v>
      </c>
      <c r="K15" s="174" t="s">
        <v>278</v>
      </c>
      <c r="L15" s="174"/>
      <c r="M15" s="174"/>
      <c r="N15" s="174"/>
      <c r="O15" s="1" t="s">
        <v>157</v>
      </c>
      <c r="P15" s="1" t="s">
        <v>158</v>
      </c>
      <c r="Q15" s="1" t="s">
        <v>277</v>
      </c>
      <c r="R15" s="174" t="s">
        <v>278</v>
      </c>
      <c r="S15" s="174"/>
      <c r="T15" s="174"/>
      <c r="U15" s="174"/>
    </row>
    <row r="16" spans="1:22" ht="20.399999999999999" customHeight="1">
      <c r="A16" s="144" t="s">
        <v>279</v>
      </c>
      <c r="B16" s="144" t="s">
        <v>280</v>
      </c>
      <c r="C16" s="144">
        <v>10</v>
      </c>
      <c r="D16" s="161" t="s">
        <v>281</v>
      </c>
      <c r="E16" s="161"/>
      <c r="F16" s="161"/>
      <c r="G16" s="161"/>
      <c r="H16" s="144"/>
      <c r="I16" s="144"/>
      <c r="J16" s="144"/>
      <c r="K16" s="161"/>
      <c r="L16" s="161"/>
      <c r="M16" s="161"/>
      <c r="N16" s="161"/>
      <c r="O16" s="144"/>
      <c r="P16" s="144"/>
      <c r="Q16" s="144"/>
      <c r="R16" s="161"/>
      <c r="S16" s="161"/>
      <c r="T16" s="161"/>
      <c r="U16" s="161"/>
    </row>
    <row r="17" spans="1:21" ht="20.399999999999999" customHeight="1">
      <c r="A17" s="144"/>
      <c r="B17" s="144"/>
      <c r="C17" s="144"/>
      <c r="D17" s="161"/>
      <c r="E17" s="161"/>
      <c r="F17" s="161"/>
      <c r="G17" s="161"/>
      <c r="H17" s="144"/>
      <c r="I17" s="144"/>
      <c r="J17" s="144"/>
      <c r="K17" s="161"/>
      <c r="L17" s="161"/>
      <c r="M17" s="161"/>
      <c r="N17" s="161"/>
      <c r="O17" s="144"/>
      <c r="P17" s="144"/>
      <c r="Q17" s="144"/>
      <c r="R17" s="161"/>
      <c r="S17" s="161"/>
      <c r="T17" s="161"/>
      <c r="U17" s="161"/>
    </row>
    <row r="18" spans="1:21" ht="20.399999999999999" customHeight="1">
      <c r="A18" s="144" t="s">
        <v>282</v>
      </c>
      <c r="B18" s="144" t="s">
        <v>283</v>
      </c>
      <c r="C18" s="144">
        <v>0</v>
      </c>
      <c r="D18" s="161" t="s">
        <v>265</v>
      </c>
      <c r="E18" s="161"/>
      <c r="F18" s="161"/>
      <c r="G18" s="161"/>
      <c r="H18" s="144"/>
      <c r="I18" s="144"/>
      <c r="J18" s="144"/>
      <c r="K18" s="161"/>
      <c r="L18" s="161"/>
      <c r="M18" s="161"/>
      <c r="N18" s="161"/>
      <c r="O18" s="144"/>
      <c r="P18" s="144"/>
      <c r="Q18" s="144"/>
      <c r="R18" s="161"/>
      <c r="S18" s="161"/>
      <c r="T18" s="161"/>
      <c r="U18" s="161"/>
    </row>
    <row r="19" spans="1:21" ht="20.399999999999999" customHeight="1">
      <c r="A19" s="144"/>
      <c r="B19" s="144"/>
      <c r="C19" s="144"/>
      <c r="D19" s="161"/>
      <c r="E19" s="161"/>
      <c r="F19" s="161"/>
      <c r="G19" s="161"/>
      <c r="H19" s="144"/>
      <c r="I19" s="144"/>
      <c r="J19" s="144"/>
      <c r="K19" s="161"/>
      <c r="L19" s="161"/>
      <c r="M19" s="161"/>
      <c r="N19" s="161"/>
      <c r="O19" s="144"/>
      <c r="P19" s="144"/>
      <c r="Q19" s="144"/>
      <c r="R19" s="161"/>
      <c r="S19" s="161"/>
      <c r="T19" s="161"/>
      <c r="U19" s="161"/>
    </row>
    <row r="20" spans="1:21" ht="20.399999999999999" customHeight="1">
      <c r="A20" s="144"/>
      <c r="B20" s="144"/>
      <c r="C20" s="144"/>
      <c r="D20" s="161"/>
      <c r="E20" s="161"/>
      <c r="F20" s="161"/>
      <c r="G20" s="161"/>
      <c r="H20" s="144"/>
      <c r="I20" s="144"/>
      <c r="J20" s="144"/>
      <c r="K20" s="161"/>
      <c r="L20" s="161"/>
      <c r="M20" s="161"/>
      <c r="N20" s="161"/>
      <c r="O20" s="144"/>
      <c r="P20" s="144"/>
      <c r="Q20" s="144"/>
      <c r="R20" s="161"/>
      <c r="S20" s="161"/>
      <c r="T20" s="161"/>
      <c r="U20" s="161"/>
    </row>
    <row r="21" spans="1:21" ht="20.399999999999999" customHeight="1">
      <c r="A21" s="144"/>
      <c r="B21" s="144"/>
      <c r="C21" s="144"/>
      <c r="D21" s="161"/>
      <c r="E21" s="161"/>
      <c r="F21" s="161"/>
      <c r="G21" s="161"/>
      <c r="H21" s="144"/>
      <c r="I21" s="144"/>
      <c r="J21" s="144"/>
      <c r="K21" s="161"/>
      <c r="L21" s="161"/>
      <c r="M21" s="161"/>
      <c r="N21" s="161"/>
      <c r="O21" s="144"/>
      <c r="P21" s="144"/>
      <c r="Q21" s="144"/>
      <c r="R21" s="161"/>
      <c r="S21" s="161"/>
      <c r="T21" s="161"/>
      <c r="U21" s="161"/>
    </row>
    <row r="22" spans="1:21" ht="20.399999999999999" customHeight="1">
      <c r="A22" s="144"/>
      <c r="B22" s="144"/>
      <c r="C22" s="144"/>
      <c r="D22" s="161"/>
      <c r="E22" s="161"/>
      <c r="F22" s="161"/>
      <c r="G22" s="161"/>
      <c r="H22" s="144"/>
      <c r="I22" s="144"/>
      <c r="J22" s="144"/>
      <c r="K22" s="161"/>
      <c r="L22" s="161"/>
      <c r="M22" s="161"/>
      <c r="N22" s="161"/>
      <c r="O22" s="144"/>
      <c r="P22" s="144"/>
      <c r="Q22" s="144"/>
      <c r="R22" s="161"/>
      <c r="S22" s="161"/>
      <c r="T22" s="161"/>
      <c r="U22" s="161"/>
    </row>
    <row r="23" spans="1:21" ht="20.399999999999999" customHeight="1">
      <c r="A23" s="144"/>
      <c r="B23" s="144"/>
      <c r="C23" s="144"/>
      <c r="D23" s="161"/>
      <c r="E23" s="161"/>
      <c r="F23" s="161"/>
      <c r="G23" s="161"/>
      <c r="H23" s="144"/>
      <c r="I23" s="144"/>
      <c r="J23" s="144"/>
      <c r="K23" s="161"/>
      <c r="L23" s="161"/>
      <c r="M23" s="161"/>
      <c r="N23" s="161"/>
      <c r="O23" s="144"/>
      <c r="P23" s="144"/>
      <c r="Q23" s="144"/>
      <c r="R23" s="161"/>
      <c r="S23" s="161"/>
      <c r="T23" s="161"/>
      <c r="U23" s="161"/>
    </row>
    <row r="24" spans="1:21" ht="20.399999999999999" customHeight="1">
      <c r="A24" s="144"/>
      <c r="B24" s="144"/>
      <c r="C24" s="144"/>
      <c r="D24" s="161"/>
      <c r="E24" s="161"/>
      <c r="F24" s="161"/>
      <c r="G24" s="161"/>
      <c r="H24" s="144"/>
      <c r="I24" s="144"/>
      <c r="J24" s="144"/>
      <c r="K24" s="161"/>
      <c r="L24" s="161"/>
      <c r="M24" s="161"/>
      <c r="N24" s="161"/>
      <c r="O24" s="144"/>
      <c r="P24" s="144"/>
      <c r="Q24" s="144"/>
      <c r="R24" s="161"/>
      <c r="S24" s="161"/>
      <c r="T24" s="161"/>
      <c r="U24" s="161"/>
    </row>
    <row r="25" spans="1:21" ht="20.399999999999999" customHeight="1">
      <c r="A25" s="144"/>
      <c r="B25" s="144"/>
      <c r="C25" s="144"/>
      <c r="D25" s="161"/>
      <c r="E25" s="161"/>
      <c r="F25" s="161"/>
      <c r="G25" s="161"/>
      <c r="H25" s="144"/>
      <c r="I25" s="144"/>
      <c r="J25" s="144"/>
      <c r="K25" s="161"/>
      <c r="L25" s="161"/>
      <c r="M25" s="161"/>
      <c r="N25" s="161"/>
      <c r="O25" s="144"/>
      <c r="P25" s="144"/>
      <c r="Q25" s="144"/>
      <c r="R25" s="161"/>
      <c r="S25" s="161"/>
      <c r="T25" s="161"/>
      <c r="U25" s="161"/>
    </row>
    <row r="26" spans="1:21" ht="20.399999999999999" customHeight="1">
      <c r="A26" s="144"/>
      <c r="B26" s="144"/>
      <c r="C26" s="144"/>
      <c r="D26" s="161"/>
      <c r="E26" s="161"/>
      <c r="F26" s="161"/>
      <c r="G26" s="161"/>
      <c r="H26" s="144"/>
      <c r="I26" s="144"/>
      <c r="J26" s="144"/>
      <c r="K26" s="161"/>
      <c r="L26" s="161"/>
      <c r="M26" s="161"/>
      <c r="N26" s="161"/>
      <c r="O26" s="144"/>
      <c r="P26" s="144"/>
      <c r="Q26" s="144"/>
      <c r="R26" s="161"/>
      <c r="S26" s="161"/>
      <c r="T26" s="161"/>
      <c r="U26" s="161"/>
    </row>
    <row r="27" spans="1:21" ht="20.399999999999999" customHeight="1">
      <c r="A27" s="144"/>
      <c r="B27" s="144"/>
      <c r="C27" s="144"/>
      <c r="D27" s="161"/>
      <c r="E27" s="161"/>
      <c r="F27" s="161"/>
      <c r="G27" s="161"/>
      <c r="H27" s="144"/>
      <c r="I27" s="144"/>
      <c r="J27" s="144"/>
      <c r="K27" s="161"/>
      <c r="L27" s="161"/>
      <c r="M27" s="161"/>
      <c r="N27" s="161"/>
      <c r="O27" s="144"/>
      <c r="P27" s="144"/>
      <c r="Q27" s="144"/>
      <c r="R27" s="161"/>
      <c r="S27" s="161"/>
      <c r="T27" s="161"/>
      <c r="U27" s="161"/>
    </row>
  </sheetData>
  <mergeCells count="109"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R11" sqref="R11:V12"/>
    </sheetView>
  </sheetViews>
  <sheetFormatPr defaultColWidth="9" defaultRowHeight="20.399999999999999" customHeight="1"/>
  <sheetData>
    <row r="1" spans="1:22" ht="20.399999999999999" customHeight="1">
      <c r="A1" s="196" t="s">
        <v>59</v>
      </c>
      <c r="B1" s="196"/>
      <c r="C1" s="196"/>
      <c r="D1" s="196"/>
      <c r="E1" s="196"/>
      <c r="F1" s="196"/>
      <c r="G1" s="196"/>
    </row>
    <row r="2" spans="1:22" ht="20.399999999999999" customHeight="1">
      <c r="A2" s="196"/>
      <c r="B2" s="196"/>
      <c r="C2" s="196"/>
      <c r="D2" s="196"/>
      <c r="E2" s="196"/>
      <c r="F2" s="196"/>
      <c r="G2" s="196"/>
    </row>
    <row r="3" spans="1:22" ht="20.399999999999999" customHeight="1">
      <c r="A3" s="145" t="s">
        <v>255</v>
      </c>
      <c r="B3" s="147"/>
      <c r="C3" s="145">
        <f ca="1">IF(总表!C36=1,INT(INDIRECT("各种技能"&amp;"!G21")/6),INT(INDIRECT("各种技能"&amp;"!G21")/8))</f>
        <v>3</v>
      </c>
      <c r="D3" s="146"/>
      <c r="E3" s="146"/>
      <c r="F3" s="146"/>
      <c r="G3" s="147"/>
    </row>
    <row r="4" spans="1:22" ht="20.399999999999999" customHeight="1">
      <c r="A4" s="1" t="s">
        <v>157</v>
      </c>
      <c r="B4" s="1" t="s">
        <v>156</v>
      </c>
      <c r="C4" s="145" t="s">
        <v>256</v>
      </c>
      <c r="D4" s="146"/>
      <c r="E4" s="146"/>
      <c r="F4" s="146"/>
      <c r="G4" s="147"/>
      <c r="H4" s="145" t="s">
        <v>257</v>
      </c>
      <c r="I4" s="146"/>
      <c r="J4" s="146"/>
      <c r="K4" s="146"/>
      <c r="L4" s="147"/>
      <c r="M4" s="145" t="s">
        <v>258</v>
      </c>
      <c r="N4" s="146"/>
      <c r="O4" s="146"/>
      <c r="P4" s="146"/>
      <c r="Q4" s="147"/>
      <c r="R4" s="145" t="s">
        <v>259</v>
      </c>
      <c r="S4" s="146"/>
      <c r="T4" s="146"/>
      <c r="U4" s="146"/>
      <c r="V4" s="147"/>
    </row>
    <row r="5" spans="1:22" ht="20.399999999999999" customHeight="1">
      <c r="A5" s="144" t="s">
        <v>284</v>
      </c>
      <c r="B5" s="144" t="s">
        <v>116</v>
      </c>
      <c r="C5" s="197" t="s">
        <v>368</v>
      </c>
      <c r="D5" s="198"/>
      <c r="E5" s="198"/>
      <c r="F5" s="198"/>
      <c r="G5" s="199"/>
      <c r="H5" s="164" t="s">
        <v>369</v>
      </c>
      <c r="I5" s="165"/>
      <c r="J5" s="165"/>
      <c r="K5" s="165"/>
      <c r="L5" s="166"/>
      <c r="M5" s="164" t="s">
        <v>370</v>
      </c>
      <c r="N5" s="165"/>
      <c r="O5" s="165"/>
      <c r="P5" s="165"/>
      <c r="Q5" s="166"/>
      <c r="R5" s="164" t="s">
        <v>371</v>
      </c>
      <c r="S5" s="165"/>
      <c r="T5" s="165"/>
      <c r="U5" s="165"/>
      <c r="V5" s="166"/>
    </row>
    <row r="6" spans="1:22" ht="20.399999999999999" customHeight="1">
      <c r="A6" s="144"/>
      <c r="B6" s="144"/>
      <c r="C6" s="200"/>
      <c r="D6" s="201"/>
      <c r="E6" s="201"/>
      <c r="F6" s="201"/>
      <c r="G6" s="202"/>
      <c r="H6" s="169"/>
      <c r="I6" s="170"/>
      <c r="J6" s="170"/>
      <c r="K6" s="170"/>
      <c r="L6" s="171"/>
      <c r="M6" s="169"/>
      <c r="N6" s="170"/>
      <c r="O6" s="170"/>
      <c r="P6" s="170"/>
      <c r="Q6" s="171"/>
      <c r="R6" s="169"/>
      <c r="S6" s="170"/>
      <c r="T6" s="170"/>
      <c r="U6" s="170"/>
      <c r="V6" s="171"/>
    </row>
    <row r="7" spans="1:22" ht="20.399999999999999" customHeight="1">
      <c r="A7" s="144" t="s">
        <v>285</v>
      </c>
      <c r="B7" s="144" t="s">
        <v>116</v>
      </c>
      <c r="C7" s="197" t="s">
        <v>372</v>
      </c>
      <c r="D7" s="198"/>
      <c r="E7" s="198"/>
      <c r="F7" s="198"/>
      <c r="G7" s="199"/>
      <c r="H7" s="164" t="s">
        <v>350</v>
      </c>
      <c r="I7" s="165"/>
      <c r="J7" s="165"/>
      <c r="K7" s="165"/>
      <c r="L7" s="166"/>
      <c r="M7" s="164" t="s">
        <v>373</v>
      </c>
      <c r="N7" s="165"/>
      <c r="O7" s="165"/>
      <c r="P7" s="165"/>
      <c r="Q7" s="166"/>
      <c r="R7" s="164" t="s">
        <v>286</v>
      </c>
      <c r="S7" s="165"/>
      <c r="T7" s="165"/>
      <c r="U7" s="165"/>
      <c r="V7" s="166"/>
    </row>
    <row r="8" spans="1:22" ht="20.399999999999999" customHeight="1">
      <c r="A8" s="144"/>
      <c r="B8" s="144"/>
      <c r="C8" s="200"/>
      <c r="D8" s="201"/>
      <c r="E8" s="201"/>
      <c r="F8" s="201"/>
      <c r="G8" s="202"/>
      <c r="H8" s="169"/>
      <c r="I8" s="170"/>
      <c r="J8" s="170"/>
      <c r="K8" s="170"/>
      <c r="L8" s="171"/>
      <c r="M8" s="169"/>
      <c r="N8" s="170"/>
      <c r="O8" s="170"/>
      <c r="P8" s="170"/>
      <c r="Q8" s="171"/>
      <c r="R8" s="169"/>
      <c r="S8" s="170"/>
      <c r="T8" s="170"/>
      <c r="U8" s="170"/>
      <c r="V8" s="171"/>
    </row>
    <row r="9" spans="1:22" ht="20.399999999999999" customHeight="1">
      <c r="A9" s="144" t="s">
        <v>287</v>
      </c>
      <c r="B9" s="144" t="s">
        <v>116</v>
      </c>
      <c r="C9" s="197" t="s">
        <v>374</v>
      </c>
      <c r="D9" s="198"/>
      <c r="E9" s="198"/>
      <c r="F9" s="198"/>
      <c r="G9" s="199"/>
      <c r="H9" s="203" t="s">
        <v>381</v>
      </c>
      <c r="I9" s="165"/>
      <c r="J9" s="165"/>
      <c r="K9" s="165"/>
      <c r="L9" s="166"/>
      <c r="M9" s="164" t="s">
        <v>375</v>
      </c>
      <c r="N9" s="165"/>
      <c r="O9" s="165"/>
      <c r="P9" s="165"/>
      <c r="Q9" s="166"/>
      <c r="R9" s="164" t="s">
        <v>376</v>
      </c>
      <c r="S9" s="165"/>
      <c r="T9" s="165"/>
      <c r="U9" s="165"/>
      <c r="V9" s="166"/>
    </row>
    <row r="10" spans="1:22" ht="20.399999999999999" customHeight="1">
      <c r="A10" s="144"/>
      <c r="B10" s="144"/>
      <c r="C10" s="200"/>
      <c r="D10" s="201"/>
      <c r="E10" s="201"/>
      <c r="F10" s="201"/>
      <c r="G10" s="202"/>
      <c r="H10" s="169"/>
      <c r="I10" s="170"/>
      <c r="J10" s="170"/>
      <c r="K10" s="170"/>
      <c r="L10" s="171"/>
      <c r="M10" s="169"/>
      <c r="N10" s="170"/>
      <c r="O10" s="170"/>
      <c r="P10" s="170"/>
      <c r="Q10" s="171"/>
      <c r="R10" s="169"/>
      <c r="S10" s="170"/>
      <c r="T10" s="170"/>
      <c r="U10" s="170"/>
      <c r="V10" s="171"/>
    </row>
    <row r="11" spans="1:22" ht="20.399999999999999" customHeight="1">
      <c r="A11" s="144" t="s">
        <v>288</v>
      </c>
      <c r="B11" s="144" t="s">
        <v>116</v>
      </c>
      <c r="C11" s="205" t="s">
        <v>382</v>
      </c>
      <c r="D11" s="198"/>
      <c r="E11" s="198"/>
      <c r="F11" s="198"/>
      <c r="G11" s="199"/>
      <c r="H11" s="164" t="s">
        <v>377</v>
      </c>
      <c r="I11" s="165"/>
      <c r="J11" s="165"/>
      <c r="K11" s="165"/>
      <c r="L11" s="166"/>
      <c r="M11" s="164" t="s">
        <v>378</v>
      </c>
      <c r="N11" s="165"/>
      <c r="O11" s="165"/>
      <c r="P11" s="165"/>
      <c r="Q11" s="166"/>
      <c r="R11" s="164" t="s">
        <v>379</v>
      </c>
      <c r="S11" s="165"/>
      <c r="T11" s="165"/>
      <c r="U11" s="165"/>
      <c r="V11" s="166"/>
    </row>
    <row r="12" spans="1:22" ht="20.399999999999999" customHeight="1">
      <c r="A12" s="194"/>
      <c r="B12" s="194"/>
      <c r="C12" s="206"/>
      <c r="D12" s="207"/>
      <c r="E12" s="207"/>
      <c r="F12" s="207"/>
      <c r="G12" s="208"/>
      <c r="H12" s="167"/>
      <c r="I12" s="141"/>
      <c r="J12" s="141"/>
      <c r="K12" s="141"/>
      <c r="L12" s="168"/>
      <c r="M12" s="167"/>
      <c r="N12" s="141"/>
      <c r="O12" s="141"/>
      <c r="P12" s="141"/>
      <c r="Q12" s="168"/>
      <c r="R12" s="167"/>
      <c r="S12" s="141"/>
      <c r="T12" s="141"/>
      <c r="U12" s="141"/>
      <c r="V12" s="168"/>
    </row>
    <row r="13" spans="1:22" ht="20.399999999999999" customHeight="1">
      <c r="A13" s="196" t="s">
        <v>289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</row>
    <row r="14" spans="1:22" ht="20.399999999999999" customHeight="1">
      <c r="A14" s="196"/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</row>
    <row r="15" spans="1:22" ht="20.399999999999999" customHeight="1">
      <c r="A15" s="1" t="s">
        <v>157</v>
      </c>
      <c r="B15" s="1" t="s">
        <v>160</v>
      </c>
      <c r="C15" s="1" t="s">
        <v>196</v>
      </c>
      <c r="D15" s="174" t="s">
        <v>278</v>
      </c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" t="s">
        <v>197</v>
      </c>
      <c r="R15" s="174" t="s">
        <v>200</v>
      </c>
      <c r="S15" s="174"/>
      <c r="T15" s="174"/>
      <c r="U15" s="1" t="s">
        <v>277</v>
      </c>
      <c r="V15" s="1" t="s">
        <v>81</v>
      </c>
    </row>
    <row r="16" spans="1:22" ht="20.399999999999999" customHeight="1">
      <c r="A16" s="144" t="s">
        <v>290</v>
      </c>
      <c r="B16" s="144" t="s">
        <v>11</v>
      </c>
      <c r="C16" s="144">
        <f ca="1">LOOKUP(INDIRECT("rc[-1]",),INDIRECT("总表"&amp;"!A29:A34"),INDIRECT("总表"&amp;"!B29:B34"))</f>
        <v>50</v>
      </c>
      <c r="D16" s="161" t="s">
        <v>291</v>
      </c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44">
        <v>1</v>
      </c>
      <c r="R16" s="144">
        <v>0</v>
      </c>
      <c r="S16" s="144" t="s">
        <v>23</v>
      </c>
      <c r="T16" s="144" t="str">
        <f t="shared" ref="T16:T20" si="0">IF(Q16&lt;10,"6",IF(Q16&lt;20,"9",IF(Q16&lt;30,"12",18)))</f>
        <v>6</v>
      </c>
      <c r="U16" s="144">
        <v>5</v>
      </c>
      <c r="V16" s="204">
        <f ca="1">IF(SUM(C16,Q16)&lt;=50,SUM(C16,Q16),IF(SUM(C16,Q16)&lt;=80,(SUM(C16,Q16)-50)*0.7+50,(SUM(C16,Q16)-80)*0.4+71))</f>
        <v>50.7</v>
      </c>
    </row>
    <row r="17" spans="1:22" ht="20.399999999999999" customHeight="1">
      <c r="A17" s="144"/>
      <c r="B17" s="144"/>
      <c r="C17" s="144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44"/>
      <c r="R17" s="144"/>
      <c r="S17" s="144"/>
      <c r="T17" s="144"/>
      <c r="U17" s="144"/>
      <c r="V17" s="204"/>
    </row>
    <row r="18" spans="1:22" ht="20.399999999999999" customHeight="1">
      <c r="A18" s="144" t="s">
        <v>292</v>
      </c>
      <c r="B18" s="144" t="s">
        <v>11</v>
      </c>
      <c r="C18" s="144">
        <f t="shared" ref="C18" ca="1" si="1">LOOKUP(INDIRECT("rc[-1]",),INDIRECT("总表"&amp;"!A29:A34"),INDIRECT("总表"&amp;"!B29:B34"))</f>
        <v>50</v>
      </c>
      <c r="D18" s="161" t="s">
        <v>293</v>
      </c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44">
        <v>1</v>
      </c>
      <c r="R18" s="144">
        <v>0</v>
      </c>
      <c r="S18" s="144" t="s">
        <v>23</v>
      </c>
      <c r="T18" s="144" t="str">
        <f t="shared" si="0"/>
        <v>6</v>
      </c>
      <c r="U18" s="144">
        <v>10</v>
      </c>
      <c r="V18" s="204">
        <f t="shared" ref="V18" ca="1" si="2">IF(SUM(C18,Q18)&lt;=50,SUM(C18,Q18),IF(SUM(C18,Q18)&lt;=80,(SUM(C18,Q18)-50)*0.7+50,(SUM(C18,Q18)-80)*0.4+71))</f>
        <v>50.7</v>
      </c>
    </row>
    <row r="19" spans="1:22" ht="20.399999999999999" customHeight="1">
      <c r="A19" s="144"/>
      <c r="B19" s="144"/>
      <c r="C19" s="144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44"/>
      <c r="R19" s="144"/>
      <c r="S19" s="144"/>
      <c r="T19" s="144"/>
      <c r="U19" s="144"/>
      <c r="V19" s="204"/>
    </row>
    <row r="20" spans="1:22" ht="20.399999999999999" customHeight="1">
      <c r="A20" s="144"/>
      <c r="B20" s="144" t="s">
        <v>11</v>
      </c>
      <c r="C20" s="144">
        <f t="shared" ref="C20" ca="1" si="3">LOOKUP(INDIRECT("rc[-1]",),INDIRECT("总表"&amp;"!A29:A34"),INDIRECT("总表"&amp;"!B29:B34"))</f>
        <v>50</v>
      </c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44">
        <v>1</v>
      </c>
      <c r="R20" s="144">
        <v>0</v>
      </c>
      <c r="S20" s="144" t="s">
        <v>23</v>
      </c>
      <c r="T20" s="144" t="str">
        <f t="shared" si="0"/>
        <v>6</v>
      </c>
      <c r="U20" s="144"/>
      <c r="V20" s="204">
        <f t="shared" ref="V20" ca="1" si="4">IF(SUM(C20,Q20)&lt;=50,SUM(C20,Q20),IF(SUM(C20,Q20)&lt;=80,(SUM(C20,Q20)-50)*0.7+50,(SUM(C20,Q20)-80)*0.4+71))</f>
        <v>50.7</v>
      </c>
    </row>
    <row r="21" spans="1:22" ht="20.399999999999999" customHeight="1">
      <c r="A21" s="144"/>
      <c r="B21" s="144"/>
      <c r="C21" s="144"/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44"/>
      <c r="R21" s="144"/>
      <c r="S21" s="144"/>
      <c r="T21" s="144"/>
      <c r="U21" s="144"/>
      <c r="V21" s="204"/>
    </row>
    <row r="22" spans="1:22" ht="20.399999999999999" customHeight="1">
      <c r="A22" s="144"/>
      <c r="B22" s="144" t="s">
        <v>11</v>
      </c>
      <c r="C22" s="144">
        <f t="shared" ref="C22" ca="1" si="5">LOOKUP(INDIRECT("rc[-1]",),INDIRECT("总表"&amp;"!A29:A34"),INDIRECT("总表"&amp;"!B29:B34"))</f>
        <v>50</v>
      </c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44">
        <v>1</v>
      </c>
      <c r="R22" s="144">
        <v>0</v>
      </c>
      <c r="S22" s="144" t="s">
        <v>23</v>
      </c>
      <c r="T22" s="144" t="str">
        <f t="shared" ref="T22:T26" si="6">IF(Q22&lt;10,"6",IF(Q22&lt;20,"9",IF(Q22&lt;30,"12",18)))</f>
        <v>6</v>
      </c>
      <c r="U22" s="144"/>
      <c r="V22" s="204">
        <f t="shared" ref="V22" ca="1" si="7">IF(SUM(C22,Q22)&lt;=50,SUM(C22,Q22),IF(SUM(C22,Q22)&lt;=80,(SUM(C22,Q22)-50)*0.7+50,(SUM(C22,Q22)-80)*0.4+71))</f>
        <v>50.7</v>
      </c>
    </row>
    <row r="23" spans="1:22" ht="20.399999999999999" customHeight="1">
      <c r="A23" s="144"/>
      <c r="B23" s="144"/>
      <c r="C23" s="144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44"/>
      <c r="R23" s="144"/>
      <c r="S23" s="144"/>
      <c r="T23" s="144"/>
      <c r="U23" s="144"/>
      <c r="V23" s="204"/>
    </row>
    <row r="24" spans="1:22" ht="20.399999999999999" customHeight="1">
      <c r="A24" s="144"/>
      <c r="B24" s="144" t="s">
        <v>11</v>
      </c>
      <c r="C24" s="144">
        <f t="shared" ref="C24" ca="1" si="8">LOOKUP(INDIRECT("rc[-1]",),INDIRECT("总表"&amp;"!A29:A34"),INDIRECT("总表"&amp;"!B29:B34"))</f>
        <v>50</v>
      </c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44">
        <v>1</v>
      </c>
      <c r="R24" s="144">
        <v>0</v>
      </c>
      <c r="S24" s="144" t="s">
        <v>23</v>
      </c>
      <c r="T24" s="144" t="str">
        <f t="shared" si="6"/>
        <v>6</v>
      </c>
      <c r="U24" s="144"/>
      <c r="V24" s="204">
        <f t="shared" ref="V24" ca="1" si="9">IF(SUM(C24,Q24)&lt;=50,SUM(C24,Q24),IF(SUM(C24,Q24)&lt;=80,(SUM(C24,Q24)-50)*0.7+50,(SUM(C24,Q24)-80)*0.4+71))</f>
        <v>50.7</v>
      </c>
    </row>
    <row r="25" spans="1:22" ht="20.399999999999999" customHeight="1">
      <c r="A25" s="144"/>
      <c r="B25" s="144"/>
      <c r="C25" s="144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44"/>
      <c r="R25" s="144"/>
      <c r="S25" s="144"/>
      <c r="T25" s="144"/>
      <c r="U25" s="144"/>
      <c r="V25" s="204"/>
    </row>
    <row r="26" spans="1:22" ht="20.399999999999999" customHeight="1">
      <c r="A26" s="144"/>
      <c r="B26" s="144" t="s">
        <v>11</v>
      </c>
      <c r="C26" s="144">
        <f t="shared" ref="C26" ca="1" si="10">LOOKUP(INDIRECT("rc[-1]",),INDIRECT("总表"&amp;"!A29:A34"),INDIRECT("总表"&amp;"!B29:B34"))</f>
        <v>50</v>
      </c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44">
        <v>1</v>
      </c>
      <c r="R26" s="144">
        <v>0</v>
      </c>
      <c r="S26" s="144" t="s">
        <v>23</v>
      </c>
      <c r="T26" s="144" t="str">
        <f t="shared" si="6"/>
        <v>6</v>
      </c>
      <c r="U26" s="144"/>
      <c r="V26" s="204">
        <f t="shared" ref="V26" ca="1" si="11">IF(SUM(C26,Q26)&lt;=50,SUM(C26,Q26),IF(SUM(C26,Q26)&lt;=80,(SUM(C26,Q26)-50)*0.7+50,(SUM(C26,Q26)-80)*0.4+71))</f>
        <v>50.7</v>
      </c>
    </row>
    <row r="27" spans="1:22" ht="20.399999999999999" customHeight="1">
      <c r="A27" s="144"/>
      <c r="B27" s="144"/>
      <c r="C27" s="144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44"/>
      <c r="R27" s="144"/>
      <c r="S27" s="144"/>
      <c r="T27" s="144"/>
      <c r="U27" s="144"/>
      <c r="V27" s="204"/>
    </row>
  </sheetData>
  <mergeCells count="94"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V16:V17"/>
    <mergeCell ref="V18:V19"/>
    <mergeCell ref="V20:V21"/>
    <mergeCell ref="V22:V23"/>
    <mergeCell ref="V24:V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D15:P15"/>
    <mergeCell ref="R15:T15"/>
    <mergeCell ref="A5:A6"/>
    <mergeCell ref="A7:A8"/>
    <mergeCell ref="A9:A10"/>
    <mergeCell ref="A11:A12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K14" sqref="K14:M15"/>
    </sheetView>
  </sheetViews>
  <sheetFormatPr defaultColWidth="9" defaultRowHeight="18" customHeight="1"/>
  <cols>
    <col min="1" max="7" width="8.9140625" style="16" customWidth="1"/>
    <col min="8" max="16382" width="8.9140625" customWidth="1"/>
    <col min="16383" max="16383" width="8.9140625"/>
  </cols>
  <sheetData>
    <row r="1" spans="1:28" ht="18" customHeight="1">
      <c r="A1" s="196" t="s">
        <v>294</v>
      </c>
      <c r="B1" s="196"/>
      <c r="C1" s="196"/>
      <c r="D1" s="196"/>
      <c r="E1" s="196"/>
      <c r="F1" s="196"/>
      <c r="G1" s="196"/>
      <c r="I1" s="210" t="s">
        <v>295</v>
      </c>
      <c r="J1" s="211"/>
      <c r="K1" s="211"/>
      <c r="L1" s="211"/>
      <c r="M1" s="211"/>
      <c r="N1" s="211"/>
      <c r="O1" s="211"/>
      <c r="P1" s="211"/>
      <c r="Q1" s="211"/>
      <c r="R1" s="211"/>
      <c r="S1" s="212"/>
      <c r="T1" s="22"/>
      <c r="U1" s="210" t="s">
        <v>296</v>
      </c>
      <c r="V1" s="211"/>
      <c r="W1" s="211"/>
      <c r="X1" s="211"/>
      <c r="Y1" s="211"/>
      <c r="Z1" s="211"/>
      <c r="AA1" s="211"/>
      <c r="AB1" s="212"/>
    </row>
    <row r="2" spans="1:28" ht="18" customHeight="1">
      <c r="A2" s="196"/>
      <c r="B2" s="196"/>
      <c r="C2" s="196"/>
      <c r="D2" s="196"/>
      <c r="E2" s="196"/>
      <c r="F2" s="196"/>
      <c r="G2" s="196"/>
      <c r="I2" s="213"/>
      <c r="J2" s="214"/>
      <c r="K2" s="214"/>
      <c r="L2" s="214"/>
      <c r="M2" s="214"/>
      <c r="N2" s="214"/>
      <c r="O2" s="214"/>
      <c r="P2" s="214"/>
      <c r="Q2" s="214"/>
      <c r="R2" s="214"/>
      <c r="S2" s="215"/>
      <c r="T2" s="22"/>
      <c r="U2" s="213"/>
      <c r="V2" s="214"/>
      <c r="W2" s="214"/>
      <c r="X2" s="214"/>
      <c r="Y2" s="214"/>
      <c r="Z2" s="214"/>
      <c r="AA2" s="214"/>
      <c r="AB2" s="215"/>
    </row>
    <row r="3" spans="1:28" ht="18" customHeight="1">
      <c r="A3" s="209" t="s">
        <v>297</v>
      </c>
      <c r="B3" s="209" t="s">
        <v>296</v>
      </c>
      <c r="C3" s="216" t="s">
        <v>298</v>
      </c>
      <c r="D3" s="216"/>
      <c r="E3" s="216"/>
      <c r="F3" s="216"/>
      <c r="G3" s="216"/>
      <c r="H3" s="18"/>
      <c r="I3" s="6" t="s">
        <v>157</v>
      </c>
      <c r="J3" s="6" t="s">
        <v>299</v>
      </c>
      <c r="K3" s="150" t="s">
        <v>278</v>
      </c>
      <c r="L3" s="150"/>
      <c r="M3" s="150"/>
      <c r="N3" s="6" t="s">
        <v>197</v>
      </c>
      <c r="O3" s="150" t="s">
        <v>200</v>
      </c>
      <c r="P3" s="150"/>
      <c r="Q3" s="150"/>
      <c r="R3" s="6" t="s">
        <v>277</v>
      </c>
      <c r="S3" s="6" t="s">
        <v>81</v>
      </c>
      <c r="T3" s="4"/>
      <c r="U3" s="6" t="s">
        <v>157</v>
      </c>
      <c r="V3" s="6" t="s">
        <v>277</v>
      </c>
      <c r="W3" s="150" t="s">
        <v>278</v>
      </c>
      <c r="X3" s="150"/>
      <c r="Y3" s="150"/>
      <c r="Z3" s="6" t="s">
        <v>300</v>
      </c>
      <c r="AA3" s="6" t="s">
        <v>301</v>
      </c>
      <c r="AB3" s="6" t="s">
        <v>302</v>
      </c>
    </row>
    <row r="4" spans="1:28" ht="18" customHeight="1">
      <c r="A4" s="209"/>
      <c r="B4" s="209"/>
      <c r="C4" s="216"/>
      <c r="D4" s="216"/>
      <c r="E4" s="216"/>
      <c r="F4" s="216"/>
      <c r="G4" s="216"/>
      <c r="H4" s="18"/>
      <c r="I4" s="194"/>
      <c r="J4" s="194" t="s">
        <v>303</v>
      </c>
      <c r="K4" s="164"/>
      <c r="L4" s="165"/>
      <c r="M4" s="166"/>
      <c r="N4" s="194">
        <v>1</v>
      </c>
      <c r="O4" s="194">
        <v>0</v>
      </c>
      <c r="P4" s="194" t="s">
        <v>23</v>
      </c>
      <c r="Q4" s="144" t="str">
        <f>IF(N4&lt;10,"6",IF(N4&lt;20,"9",IF(N4&lt;30,"12",18)))</f>
        <v>6</v>
      </c>
      <c r="R4" s="194">
        <v>5</v>
      </c>
      <c r="S4" s="204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4"/>
      <c r="V4" s="194"/>
      <c r="W4" s="164"/>
      <c r="X4" s="165"/>
      <c r="Y4" s="166"/>
      <c r="Z4" s="194"/>
      <c r="AA4" s="194"/>
      <c r="AB4" s="204"/>
    </row>
    <row r="5" spans="1:28" ht="18" customHeight="1">
      <c r="A5" s="17" t="s">
        <v>304</v>
      </c>
      <c r="B5" s="17" t="s">
        <v>305</v>
      </c>
      <c r="C5" s="17" t="s">
        <v>306</v>
      </c>
      <c r="D5" s="209" t="s">
        <v>307</v>
      </c>
      <c r="E5" s="209"/>
      <c r="F5" s="209"/>
      <c r="G5" s="209"/>
      <c r="H5" s="19"/>
      <c r="I5" s="195"/>
      <c r="J5" s="195"/>
      <c r="K5" s="169"/>
      <c r="L5" s="170"/>
      <c r="M5" s="171"/>
      <c r="N5" s="195"/>
      <c r="O5" s="195"/>
      <c r="P5" s="195"/>
      <c r="Q5" s="144"/>
      <c r="R5" s="195"/>
      <c r="S5" s="204"/>
      <c r="T5" s="23"/>
      <c r="U5" s="195"/>
      <c r="V5" s="195"/>
      <c r="W5" s="169"/>
      <c r="X5" s="170"/>
      <c r="Y5" s="171"/>
      <c r="Z5" s="195"/>
      <c r="AA5" s="195"/>
      <c r="AB5" s="204"/>
    </row>
    <row r="6" spans="1:28" ht="18" customHeight="1">
      <c r="A6" s="144" t="s">
        <v>303</v>
      </c>
      <c r="B6" s="144">
        <f ca="1">IF(B3=A6,SUMIF(J:N,A6,N:N),SUMIF(J:N,A6,N:N)/2)</f>
        <v>0.5</v>
      </c>
      <c r="C6" s="144">
        <f ca="1">IF(B6&lt;15,1,IF(B6&lt;45,2,IF(B6&lt;105,3,IF(B6&lt;165,4,5))))</f>
        <v>1</v>
      </c>
      <c r="D6" s="161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61"/>
      <c r="F6" s="161"/>
      <c r="G6" s="161"/>
      <c r="H6" s="5"/>
      <c r="I6" s="194"/>
      <c r="J6" s="194" t="s">
        <v>308</v>
      </c>
      <c r="K6" s="164"/>
      <c r="L6" s="165"/>
      <c r="M6" s="166"/>
      <c r="N6" s="194">
        <v>1</v>
      </c>
      <c r="O6" s="194">
        <v>0</v>
      </c>
      <c r="P6" s="194" t="s">
        <v>23</v>
      </c>
      <c r="Q6" s="144" t="str">
        <f t="shared" ref="Q6" si="0">IF(N6&lt;10,"6",IF(N6&lt;20,"9",IF(N6&lt;30,"12",18)))</f>
        <v>6</v>
      </c>
      <c r="R6" s="194">
        <v>5</v>
      </c>
      <c r="S6" s="204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4"/>
      <c r="V6" s="194"/>
      <c r="W6" s="164"/>
      <c r="X6" s="165"/>
      <c r="Y6" s="166"/>
      <c r="Z6" s="194"/>
      <c r="AA6" s="194"/>
      <c r="AB6" s="204"/>
    </row>
    <row r="7" spans="1:28" ht="18" customHeight="1">
      <c r="A7" s="144"/>
      <c r="B7" s="144"/>
      <c r="C7" s="144"/>
      <c r="D7" s="161"/>
      <c r="E7" s="161"/>
      <c r="F7" s="161"/>
      <c r="G7" s="161"/>
      <c r="H7" s="5"/>
      <c r="I7" s="195"/>
      <c r="J7" s="195"/>
      <c r="K7" s="169"/>
      <c r="L7" s="170"/>
      <c r="M7" s="171"/>
      <c r="N7" s="195"/>
      <c r="O7" s="195"/>
      <c r="P7" s="195"/>
      <c r="Q7" s="144"/>
      <c r="R7" s="195"/>
      <c r="S7" s="204"/>
      <c r="T7" s="23"/>
      <c r="U7" s="195"/>
      <c r="V7" s="195"/>
      <c r="W7" s="169"/>
      <c r="X7" s="170"/>
      <c r="Y7" s="171"/>
      <c r="Z7" s="195"/>
      <c r="AA7" s="195"/>
      <c r="AB7" s="204"/>
    </row>
    <row r="8" spans="1:28" ht="18" customHeight="1">
      <c r="A8" s="144"/>
      <c r="B8" s="144"/>
      <c r="C8" s="144"/>
      <c r="D8" s="161"/>
      <c r="E8" s="161"/>
      <c r="F8" s="161"/>
      <c r="G8" s="161"/>
      <c r="H8" s="5"/>
      <c r="I8" s="194"/>
      <c r="J8" s="194" t="s">
        <v>309</v>
      </c>
      <c r="K8" s="164"/>
      <c r="L8" s="165"/>
      <c r="M8" s="166"/>
      <c r="N8" s="194">
        <v>1</v>
      </c>
      <c r="O8" s="194">
        <v>0</v>
      </c>
      <c r="P8" s="194" t="s">
        <v>23</v>
      </c>
      <c r="Q8" s="144" t="str">
        <f t="shared" ref="Q8" si="2">IF(N8&lt;10,"6",IF(N8&lt;20,"9",IF(N8&lt;30,"12",18)))</f>
        <v>6</v>
      </c>
      <c r="R8" s="194">
        <v>5</v>
      </c>
      <c r="S8" s="204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4"/>
      <c r="V8" s="194"/>
      <c r="W8" s="164"/>
      <c r="X8" s="165"/>
      <c r="Y8" s="166"/>
      <c r="Z8" s="194"/>
      <c r="AA8" s="194"/>
      <c r="AB8" s="204"/>
    </row>
    <row r="9" spans="1:28" ht="18" customHeight="1">
      <c r="A9" s="144" t="s">
        <v>308</v>
      </c>
      <c r="B9" s="144">
        <f ca="1">IF(B3=A9,SUMIF(J:N,A9,N:N),SUMIF(J:N,A9,N:N)/2)</f>
        <v>0.5</v>
      </c>
      <c r="C9" s="144">
        <f ca="1">IF(B9&lt;10,1,IF(B9&lt;30,2,IF(B9&lt;70,3,IF(B9&lt;110,4,5))))</f>
        <v>1</v>
      </c>
      <c r="D9" s="161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61"/>
      <c r="F9" s="161"/>
      <c r="G9" s="161"/>
      <c r="H9" s="5"/>
      <c r="I9" s="195"/>
      <c r="J9" s="195"/>
      <c r="K9" s="169"/>
      <c r="L9" s="170"/>
      <c r="M9" s="171"/>
      <c r="N9" s="195"/>
      <c r="O9" s="195"/>
      <c r="P9" s="195"/>
      <c r="Q9" s="144"/>
      <c r="R9" s="195"/>
      <c r="S9" s="204"/>
      <c r="T9" s="23"/>
      <c r="U9" s="195"/>
      <c r="V9" s="195"/>
      <c r="W9" s="169"/>
      <c r="X9" s="170"/>
      <c r="Y9" s="171"/>
      <c r="Z9" s="195"/>
      <c r="AA9" s="195"/>
      <c r="AB9" s="204"/>
    </row>
    <row r="10" spans="1:28" ht="18" customHeight="1">
      <c r="A10" s="144"/>
      <c r="B10" s="144"/>
      <c r="C10" s="144"/>
      <c r="D10" s="161"/>
      <c r="E10" s="161"/>
      <c r="F10" s="161"/>
      <c r="G10" s="161"/>
      <c r="H10" s="5"/>
      <c r="I10" s="194"/>
      <c r="J10" s="194"/>
      <c r="K10" s="164"/>
      <c r="L10" s="165"/>
      <c r="M10" s="166"/>
      <c r="N10" s="194">
        <v>1</v>
      </c>
      <c r="O10" s="194">
        <v>0</v>
      </c>
      <c r="P10" s="194" t="s">
        <v>23</v>
      </c>
      <c r="Q10" s="144" t="str">
        <f t="shared" ref="Q10" si="4">IF(N10&lt;10,"6",IF(N10&lt;20,"9",IF(N10&lt;30,"12",18)))</f>
        <v>6</v>
      </c>
      <c r="R10" s="194">
        <v>5</v>
      </c>
      <c r="S10" s="204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4"/>
      <c r="V10" s="194"/>
      <c r="W10" s="164"/>
      <c r="X10" s="165"/>
      <c r="Y10" s="166"/>
      <c r="Z10" s="194"/>
      <c r="AA10" s="194"/>
      <c r="AB10" s="204"/>
    </row>
    <row r="11" spans="1:28" ht="18" customHeight="1" thickTop="1" thickBot="1">
      <c r="A11" s="144"/>
      <c r="B11" s="144"/>
      <c r="C11" s="144"/>
      <c r="D11" s="161"/>
      <c r="E11" s="161"/>
      <c r="F11" s="161"/>
      <c r="G11" s="161"/>
      <c r="H11" s="5"/>
      <c r="I11" s="195"/>
      <c r="J11" s="195"/>
      <c r="K11" s="169"/>
      <c r="L11" s="170"/>
      <c r="M11" s="171"/>
      <c r="N11" s="195"/>
      <c r="O11" s="195"/>
      <c r="P11" s="195"/>
      <c r="Q11" s="144"/>
      <c r="R11" s="195"/>
      <c r="S11" s="204"/>
      <c r="T11" s="23"/>
      <c r="U11" s="195"/>
      <c r="V11" s="195"/>
      <c r="W11" s="169"/>
      <c r="X11" s="170"/>
      <c r="Y11" s="171"/>
      <c r="Z11" s="195"/>
      <c r="AA11" s="195"/>
      <c r="AB11" s="204"/>
    </row>
    <row r="12" spans="1:28" ht="18" customHeight="1" thickTop="1" thickBot="1">
      <c r="A12" s="144" t="s">
        <v>310</v>
      </c>
      <c r="B12" s="144"/>
      <c r="C12" s="204">
        <f ca="1">AVERAGE(INDIRECT("总表"&amp;"!K3"),INDIRECT("总表"&amp;"!K5"),INDIRECT("总表"&amp;"!K7"),INDIRECT("总表"&amp;"!K9"),INDIRECT("总表"&amp;"!K11"))/10</f>
        <v>4.2</v>
      </c>
      <c r="D12" s="204"/>
      <c r="E12" s="204"/>
      <c r="F12" s="204"/>
      <c r="G12" s="204"/>
      <c r="H12" s="5"/>
      <c r="I12" s="194"/>
      <c r="J12" s="194"/>
      <c r="K12" s="164"/>
      <c r="L12" s="165"/>
      <c r="M12" s="166"/>
      <c r="N12" s="194">
        <v>1</v>
      </c>
      <c r="O12" s="194">
        <v>0</v>
      </c>
      <c r="P12" s="194" t="s">
        <v>23</v>
      </c>
      <c r="Q12" s="144" t="str">
        <f t="shared" ref="Q12" si="6">IF(N12&lt;10,"6",IF(N12&lt;20,"9",IF(N12&lt;30,"12",18)))</f>
        <v>6</v>
      </c>
      <c r="R12" s="194">
        <v>5</v>
      </c>
      <c r="S12" s="204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4"/>
      <c r="V12" s="194"/>
      <c r="W12" s="164"/>
      <c r="X12" s="165"/>
      <c r="Y12" s="166"/>
      <c r="Z12" s="194"/>
      <c r="AA12" s="194"/>
      <c r="AB12" s="204"/>
    </row>
    <row r="13" spans="1:28" ht="18" customHeight="1" thickTop="1" thickBot="1">
      <c r="A13" s="144" t="s">
        <v>311</v>
      </c>
      <c r="B13" s="144"/>
      <c r="C13" s="144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44"/>
      <c r="E13" s="144"/>
      <c r="F13" s="144"/>
      <c r="G13" s="144"/>
      <c r="H13" s="5"/>
      <c r="I13" s="195"/>
      <c r="J13" s="195"/>
      <c r="K13" s="169"/>
      <c r="L13" s="170"/>
      <c r="M13" s="171"/>
      <c r="N13" s="195"/>
      <c r="O13" s="195"/>
      <c r="P13" s="195"/>
      <c r="Q13" s="144"/>
      <c r="R13" s="195"/>
      <c r="S13" s="204"/>
      <c r="T13" s="23"/>
      <c r="U13" s="195"/>
      <c r="V13" s="195"/>
      <c r="W13" s="169"/>
      <c r="X13" s="170"/>
      <c r="Y13" s="171"/>
      <c r="Z13" s="195"/>
      <c r="AA13" s="195"/>
      <c r="AB13" s="204"/>
    </row>
    <row r="14" spans="1:28" ht="18" customHeight="1" thickTop="1" thickBot="1">
      <c r="A14" s="144" t="s">
        <v>309</v>
      </c>
      <c r="B14" s="144">
        <f ca="1">IF(B3=A14,SUMIF(J:N,A14,N:N),SUMIF(J:N,A14,N:N)/2)</f>
        <v>0.5</v>
      </c>
      <c r="C14" s="144">
        <f ca="1">IF(B14&lt;10,1,IF(B14&lt;30,2,IF(B14&lt;70,3,IF(B14&lt;110,4,5))))</f>
        <v>1</v>
      </c>
      <c r="D14" s="161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61"/>
      <c r="F14" s="161"/>
      <c r="G14" s="161"/>
      <c r="H14" s="5"/>
      <c r="I14" s="194"/>
      <c r="J14" s="194"/>
      <c r="K14" s="164"/>
      <c r="L14" s="165"/>
      <c r="M14" s="166"/>
      <c r="N14" s="194">
        <v>1</v>
      </c>
      <c r="O14" s="194">
        <v>0</v>
      </c>
      <c r="P14" s="194" t="s">
        <v>23</v>
      </c>
      <c r="Q14" s="144" t="str">
        <f t="shared" ref="Q14:Q18" si="8">IF(N14&lt;10,"6",IF(N14&lt;20,"9",IF(N14&lt;30,"12",18)))</f>
        <v>6</v>
      </c>
      <c r="R14" s="194">
        <v>5</v>
      </c>
      <c r="S14" s="204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4"/>
      <c r="V14" s="194"/>
      <c r="W14" s="164"/>
      <c r="X14" s="165"/>
      <c r="Y14" s="166"/>
      <c r="Z14" s="194"/>
      <c r="AA14" s="194"/>
      <c r="AB14" s="204"/>
    </row>
    <row r="15" spans="1:28" ht="18" customHeight="1" thickTop="1" thickBot="1">
      <c r="A15" s="144"/>
      <c r="B15" s="144"/>
      <c r="C15" s="144"/>
      <c r="D15" s="161"/>
      <c r="E15" s="161"/>
      <c r="F15" s="161"/>
      <c r="G15" s="161"/>
      <c r="H15" s="5"/>
      <c r="I15" s="195"/>
      <c r="J15" s="195"/>
      <c r="K15" s="169"/>
      <c r="L15" s="170"/>
      <c r="M15" s="171"/>
      <c r="N15" s="195"/>
      <c r="O15" s="195"/>
      <c r="P15" s="195"/>
      <c r="Q15" s="144"/>
      <c r="R15" s="195"/>
      <c r="S15" s="204"/>
      <c r="T15" s="23"/>
      <c r="U15" s="195"/>
      <c r="V15" s="195"/>
      <c r="W15" s="169"/>
      <c r="X15" s="170"/>
      <c r="Y15" s="171"/>
      <c r="Z15" s="195"/>
      <c r="AA15" s="195"/>
      <c r="AB15" s="204"/>
    </row>
    <row r="16" spans="1:28" ht="18" customHeight="1" thickTop="1" thickBot="1">
      <c r="A16" s="144"/>
      <c r="B16" s="144"/>
      <c r="C16" s="144"/>
      <c r="D16" s="161"/>
      <c r="E16" s="161"/>
      <c r="F16" s="161"/>
      <c r="G16" s="161"/>
      <c r="H16" s="5"/>
      <c r="I16" s="194"/>
      <c r="J16" s="194"/>
      <c r="K16" s="164"/>
      <c r="L16" s="165"/>
      <c r="M16" s="166"/>
      <c r="N16" s="194">
        <v>1</v>
      </c>
      <c r="O16" s="194">
        <v>0</v>
      </c>
      <c r="P16" s="194" t="s">
        <v>23</v>
      </c>
      <c r="Q16" s="144" t="str">
        <f t="shared" si="8"/>
        <v>6</v>
      </c>
      <c r="R16" s="194">
        <v>5</v>
      </c>
      <c r="S16" s="204">
        <f t="shared" ca="1" si="9"/>
        <v>31</v>
      </c>
      <c r="T16" s="23"/>
      <c r="U16" s="194"/>
      <c r="V16" s="194"/>
      <c r="W16" s="164"/>
      <c r="X16" s="165"/>
      <c r="Y16" s="166"/>
      <c r="Z16" s="194"/>
      <c r="AA16" s="194"/>
      <c r="AB16" s="204"/>
    </row>
    <row r="17" spans="1:28" ht="18" customHeight="1" thickTop="1" thickBot="1">
      <c r="A17" s="144" t="s">
        <v>312</v>
      </c>
      <c r="B17" s="144"/>
      <c r="C17" s="204" t="str">
        <f ca="1">IF(B14&lt;2,"10",IF(B14&lt;30,"2000",IF(B14&lt;70,"2500",IF(B14&lt;110,"3000","3500"))))</f>
        <v>10</v>
      </c>
      <c r="D17" s="204"/>
      <c r="E17" s="204"/>
      <c r="F17" s="204"/>
      <c r="G17" s="204"/>
      <c r="H17" s="5"/>
      <c r="I17" s="195"/>
      <c r="J17" s="195"/>
      <c r="K17" s="169"/>
      <c r="L17" s="170"/>
      <c r="M17" s="171"/>
      <c r="N17" s="195"/>
      <c r="O17" s="195"/>
      <c r="P17" s="195"/>
      <c r="Q17" s="144"/>
      <c r="R17" s="195"/>
      <c r="S17" s="204"/>
      <c r="T17" s="23"/>
      <c r="U17" s="195"/>
      <c r="V17" s="195"/>
      <c r="W17" s="169"/>
      <c r="X17" s="170"/>
      <c r="Y17" s="171"/>
      <c r="Z17" s="195"/>
      <c r="AA17" s="195"/>
      <c r="AB17" s="204"/>
    </row>
    <row r="18" spans="1:28" ht="18" customHeight="1" thickTop="1" thickBot="1">
      <c r="A18" s="144" t="s">
        <v>313</v>
      </c>
      <c r="B18" s="144"/>
      <c r="C18" s="144">
        <v>0</v>
      </c>
      <c r="D18" s="144"/>
      <c r="E18" s="144"/>
      <c r="F18" s="144"/>
      <c r="G18" s="144"/>
      <c r="H18" s="5"/>
      <c r="I18" s="194"/>
      <c r="J18" s="194"/>
      <c r="K18" s="164"/>
      <c r="L18" s="165"/>
      <c r="M18" s="166"/>
      <c r="N18" s="194">
        <v>1</v>
      </c>
      <c r="O18" s="194">
        <v>0</v>
      </c>
      <c r="P18" s="194" t="s">
        <v>23</v>
      </c>
      <c r="Q18" s="144" t="str">
        <f t="shared" si="8"/>
        <v>6</v>
      </c>
      <c r="R18" s="194">
        <v>5</v>
      </c>
      <c r="S18" s="204">
        <f t="shared" ca="1" si="9"/>
        <v>31</v>
      </c>
      <c r="T18" s="23"/>
      <c r="U18" s="194"/>
      <c r="V18" s="194"/>
      <c r="W18" s="164"/>
      <c r="X18" s="165"/>
      <c r="Y18" s="166"/>
      <c r="Z18" s="194"/>
      <c r="AA18" s="194"/>
      <c r="AB18" s="204"/>
    </row>
    <row r="19" spans="1:28" ht="18" customHeight="1" thickTop="1" thickBot="1">
      <c r="A19" s="144" t="s">
        <v>296</v>
      </c>
      <c r="B19" s="144">
        <v>1</v>
      </c>
      <c r="C19" s="144">
        <f>IF(B19&lt;10,1,IF(B19&lt;30,2,IF(B19&lt;70,3,IF(B19&lt;110,4,5))))</f>
        <v>1</v>
      </c>
      <c r="D19" s="161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行动轮","第二个及第二个以上的魔法效果只消耗1行动点、所有魔法效果消耗SP减半、准备时间减少半行动轮、进入准备仪式时不再露出破绽"))))</f>
        <v>无</v>
      </c>
      <c r="E19" s="161"/>
      <c r="F19" s="161"/>
      <c r="G19" s="161"/>
      <c r="H19" s="5"/>
      <c r="I19" s="195"/>
      <c r="J19" s="195"/>
      <c r="K19" s="169"/>
      <c r="L19" s="170"/>
      <c r="M19" s="171"/>
      <c r="N19" s="195"/>
      <c r="O19" s="195"/>
      <c r="P19" s="195"/>
      <c r="Q19" s="144"/>
      <c r="R19" s="195"/>
      <c r="S19" s="204"/>
      <c r="T19" s="23"/>
      <c r="U19" s="195"/>
      <c r="V19" s="195"/>
      <c r="W19" s="169"/>
      <c r="X19" s="170"/>
      <c r="Y19" s="171"/>
      <c r="Z19" s="195"/>
      <c r="AA19" s="195"/>
      <c r="AB19" s="204"/>
    </row>
    <row r="20" spans="1:28" ht="18" customHeight="1" thickTop="1" thickBot="1">
      <c r="A20" s="144"/>
      <c r="B20" s="144"/>
      <c r="C20" s="144"/>
      <c r="D20" s="161"/>
      <c r="E20" s="161"/>
      <c r="F20" s="161"/>
      <c r="G20" s="161"/>
      <c r="H20" s="5"/>
      <c r="I20" s="194"/>
      <c r="J20" s="194"/>
      <c r="K20" s="164"/>
      <c r="L20" s="165"/>
      <c r="M20" s="166"/>
      <c r="N20" s="194">
        <v>1</v>
      </c>
      <c r="O20" s="194">
        <v>0</v>
      </c>
      <c r="P20" s="194" t="s">
        <v>23</v>
      </c>
      <c r="Q20" s="144" t="str">
        <f t="shared" ref="Q20" si="10">IF(N20&lt;10,"6",IF(N20&lt;20,"9",IF(N20&lt;30,"12",18)))</f>
        <v>6</v>
      </c>
      <c r="R20" s="194">
        <v>5</v>
      </c>
      <c r="S20" s="204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4"/>
      <c r="V20" s="194"/>
      <c r="W20" s="164"/>
      <c r="X20" s="165"/>
      <c r="Y20" s="166"/>
      <c r="Z20" s="194"/>
      <c r="AA20" s="194"/>
      <c r="AB20" s="204"/>
    </row>
    <row r="21" spans="1:28" ht="18" customHeight="1" thickTop="1" thickBot="1">
      <c r="A21" s="144"/>
      <c r="B21" s="144"/>
      <c r="C21" s="144"/>
      <c r="D21" s="161"/>
      <c r="E21" s="161"/>
      <c r="F21" s="161"/>
      <c r="G21" s="161"/>
      <c r="H21" s="5"/>
      <c r="I21" s="195"/>
      <c r="J21" s="195"/>
      <c r="K21" s="169"/>
      <c r="L21" s="170"/>
      <c r="M21" s="171"/>
      <c r="N21" s="195"/>
      <c r="O21" s="195"/>
      <c r="P21" s="195"/>
      <c r="Q21" s="144"/>
      <c r="R21" s="195"/>
      <c r="S21" s="204"/>
      <c r="T21" s="23"/>
      <c r="U21" s="195"/>
      <c r="V21" s="195"/>
      <c r="W21" s="169"/>
      <c r="X21" s="170"/>
      <c r="Y21" s="171"/>
      <c r="Z21" s="195"/>
      <c r="AA21" s="195"/>
      <c r="AB21" s="204"/>
    </row>
    <row r="22" spans="1:28" ht="18" customHeight="1" thickTop="1" thickBot="1">
      <c r="A22" s="144" t="s">
        <v>314</v>
      </c>
      <c r="B22" s="2" t="s">
        <v>157</v>
      </c>
      <c r="C22" s="2"/>
      <c r="D22" s="2"/>
      <c r="E22" s="2"/>
      <c r="F22" s="2"/>
      <c r="G22" s="2"/>
      <c r="H22" s="5"/>
      <c r="I22" s="194"/>
      <c r="J22" s="194"/>
      <c r="K22" s="164"/>
      <c r="L22" s="165"/>
      <c r="M22" s="166"/>
      <c r="N22" s="194">
        <v>1</v>
      </c>
      <c r="O22" s="194">
        <v>0</v>
      </c>
      <c r="P22" s="194" t="s">
        <v>23</v>
      </c>
      <c r="Q22" s="144" t="str">
        <f t="shared" ref="Q22" si="12">IF(N22&lt;10,"6",IF(N22&lt;20,"9",IF(N22&lt;30,"12",18)))</f>
        <v>6</v>
      </c>
      <c r="R22" s="194">
        <v>5</v>
      </c>
      <c r="S22" s="204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4"/>
      <c r="V22" s="194"/>
      <c r="W22" s="164"/>
      <c r="X22" s="165"/>
      <c r="Y22" s="166"/>
      <c r="Z22" s="194"/>
      <c r="AA22" s="194"/>
      <c r="AB22" s="204"/>
    </row>
    <row r="23" spans="1:28" ht="18" customHeight="1" thickTop="1" thickBot="1">
      <c r="A23" s="144"/>
      <c r="B23" s="2" t="s">
        <v>315</v>
      </c>
      <c r="C23" s="20"/>
      <c r="D23" s="2"/>
      <c r="E23" s="2"/>
      <c r="F23" s="2"/>
      <c r="G23" s="2"/>
      <c r="H23" s="5"/>
      <c r="I23" s="195"/>
      <c r="J23" s="195"/>
      <c r="K23" s="169"/>
      <c r="L23" s="170"/>
      <c r="M23" s="171"/>
      <c r="N23" s="195"/>
      <c r="O23" s="195"/>
      <c r="P23" s="195"/>
      <c r="Q23" s="144"/>
      <c r="R23" s="195"/>
      <c r="S23" s="204"/>
      <c r="T23" s="23"/>
      <c r="U23" s="195"/>
      <c r="V23" s="195"/>
      <c r="W23" s="169"/>
      <c r="X23" s="170"/>
      <c r="Y23" s="171"/>
      <c r="Z23" s="195"/>
      <c r="AA23" s="195"/>
      <c r="AB23" s="204"/>
    </row>
    <row r="24" spans="1:28" ht="18" customHeight="1" thickTop="1" thickBot="1">
      <c r="A24" s="144"/>
      <c r="B24" s="2" t="s">
        <v>157</v>
      </c>
      <c r="C24" s="20"/>
      <c r="D24" s="2"/>
      <c r="E24" s="2"/>
      <c r="F24" s="2"/>
      <c r="G24" s="2"/>
      <c r="H24" s="5"/>
      <c r="I24" s="194"/>
      <c r="J24" s="194"/>
      <c r="K24" s="164"/>
      <c r="L24" s="165"/>
      <c r="M24" s="166"/>
      <c r="N24" s="194">
        <v>1</v>
      </c>
      <c r="O24" s="194">
        <v>0</v>
      </c>
      <c r="P24" s="194" t="s">
        <v>23</v>
      </c>
      <c r="Q24" s="144" t="str">
        <f>IF(N24&lt;10,"6",IF(N24&lt;20,"9",IF(N24&lt;30,"12",18)))</f>
        <v>6</v>
      </c>
      <c r="R24" s="194">
        <v>5</v>
      </c>
      <c r="S24" s="204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4"/>
      <c r="V24" s="194"/>
      <c r="W24" s="164"/>
      <c r="X24" s="165"/>
      <c r="Y24" s="166"/>
      <c r="Z24" s="194"/>
      <c r="AA24" s="194"/>
      <c r="AB24" s="204"/>
    </row>
    <row r="25" spans="1:28" ht="18" customHeight="1" thickTop="1" thickBot="1">
      <c r="A25" s="144"/>
      <c r="B25" s="2" t="s">
        <v>315</v>
      </c>
      <c r="C25" s="20"/>
      <c r="D25" s="2"/>
      <c r="E25" s="2"/>
      <c r="F25" s="2"/>
      <c r="G25" s="2"/>
      <c r="H25" s="5"/>
      <c r="I25" s="195"/>
      <c r="J25" s="195"/>
      <c r="K25" s="169"/>
      <c r="L25" s="170"/>
      <c r="M25" s="171"/>
      <c r="N25" s="195"/>
      <c r="O25" s="195"/>
      <c r="P25" s="195"/>
      <c r="Q25" s="144"/>
      <c r="R25" s="195"/>
      <c r="S25" s="204"/>
      <c r="T25" s="23"/>
      <c r="U25" s="195"/>
      <c r="V25" s="195"/>
      <c r="W25" s="169"/>
      <c r="X25" s="170"/>
      <c r="Y25" s="171"/>
      <c r="Z25" s="195"/>
      <c r="AA25" s="195"/>
      <c r="AB25" s="204"/>
    </row>
    <row r="26" spans="1:28" ht="18" customHeight="1" thickTop="1" thickBot="1">
      <c r="A26" s="144"/>
      <c r="B26" s="2" t="s">
        <v>157</v>
      </c>
      <c r="C26" s="20"/>
      <c r="D26" s="2"/>
      <c r="E26" s="2"/>
      <c r="F26" s="2"/>
      <c r="G26" s="2"/>
      <c r="H26" s="5"/>
      <c r="I26" s="194"/>
      <c r="J26" s="194"/>
      <c r="K26" s="164"/>
      <c r="L26" s="165"/>
      <c r="M26" s="166"/>
      <c r="N26" s="194">
        <v>1</v>
      </c>
      <c r="O26" s="194">
        <v>0</v>
      </c>
      <c r="P26" s="194" t="s">
        <v>23</v>
      </c>
      <c r="Q26" s="144" t="str">
        <f t="shared" ref="Q26" si="14">IF(N26&lt;10,"6",IF(N26&lt;20,"9",IF(N26&lt;30,"12",18)))</f>
        <v>6</v>
      </c>
      <c r="R26" s="194">
        <v>5</v>
      </c>
      <c r="S26" s="204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4"/>
      <c r="V26" s="194"/>
      <c r="W26" s="164"/>
      <c r="X26" s="165"/>
      <c r="Y26" s="166"/>
      <c r="Z26" s="194"/>
      <c r="AA26" s="194"/>
      <c r="AB26" s="204"/>
    </row>
    <row r="27" spans="1:28" ht="18" customHeight="1" thickTop="1" thickBot="1">
      <c r="A27" s="144"/>
      <c r="B27" s="2" t="s">
        <v>315</v>
      </c>
      <c r="C27" s="2"/>
      <c r="D27" s="2"/>
      <c r="E27" s="2"/>
      <c r="F27" s="2"/>
      <c r="G27" s="2"/>
      <c r="H27" s="5"/>
      <c r="I27" s="195"/>
      <c r="J27" s="195"/>
      <c r="K27" s="169"/>
      <c r="L27" s="170"/>
      <c r="M27" s="171"/>
      <c r="N27" s="195"/>
      <c r="O27" s="195"/>
      <c r="P27" s="195"/>
      <c r="Q27" s="144"/>
      <c r="R27" s="195"/>
      <c r="S27" s="204"/>
      <c r="T27" s="23"/>
      <c r="U27" s="195"/>
      <c r="V27" s="195"/>
      <c r="W27" s="169"/>
      <c r="X27" s="170"/>
      <c r="Y27" s="171"/>
      <c r="Z27" s="195"/>
      <c r="AA27" s="195"/>
      <c r="AB27" s="204"/>
    </row>
    <row r="28" spans="1:28" ht="18" customHeight="1" thickTop="1" thickBot="1">
      <c r="A28" s="144"/>
      <c r="B28" s="2" t="s">
        <v>157</v>
      </c>
      <c r="C28" s="2"/>
      <c r="D28" s="2"/>
      <c r="E28" s="2"/>
      <c r="F28" s="2"/>
      <c r="G28" s="2"/>
      <c r="H28" s="5"/>
      <c r="I28" s="194"/>
      <c r="J28" s="194"/>
      <c r="K28" s="164"/>
      <c r="L28" s="165"/>
      <c r="M28" s="166"/>
      <c r="N28" s="194">
        <v>1</v>
      </c>
      <c r="O28" s="194">
        <v>0</v>
      </c>
      <c r="P28" s="194" t="s">
        <v>23</v>
      </c>
      <c r="Q28" s="144" t="str">
        <f t="shared" ref="Q28" si="16">IF(N28&lt;10,"6",IF(N28&lt;20,"9",IF(N28&lt;30,"12",18)))</f>
        <v>6</v>
      </c>
      <c r="R28" s="194">
        <v>5</v>
      </c>
      <c r="S28" s="204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4"/>
      <c r="V28" s="194"/>
      <c r="W28" s="164"/>
      <c r="X28" s="165"/>
      <c r="Y28" s="166"/>
      <c r="Z28" s="194"/>
      <c r="AA28" s="194"/>
      <c r="AB28" s="204"/>
    </row>
    <row r="29" spans="1:28" ht="18" customHeight="1" thickTop="1" thickBot="1">
      <c r="A29" s="144"/>
      <c r="B29" s="2" t="s">
        <v>315</v>
      </c>
      <c r="C29" s="2"/>
      <c r="D29" s="2"/>
      <c r="E29" s="2"/>
      <c r="F29" s="2"/>
      <c r="G29" s="2"/>
      <c r="H29" s="5"/>
      <c r="I29" s="195"/>
      <c r="J29" s="195"/>
      <c r="K29" s="169"/>
      <c r="L29" s="170"/>
      <c r="M29" s="171"/>
      <c r="N29" s="195"/>
      <c r="O29" s="195"/>
      <c r="P29" s="195"/>
      <c r="Q29" s="144"/>
      <c r="R29" s="195"/>
      <c r="S29" s="204"/>
      <c r="T29" s="23"/>
      <c r="U29" s="195"/>
      <c r="V29" s="195"/>
      <c r="W29" s="169"/>
      <c r="X29" s="170"/>
      <c r="Y29" s="171"/>
      <c r="Z29" s="195"/>
      <c r="AA29" s="195"/>
      <c r="AB29" s="204"/>
    </row>
    <row r="30" spans="1:28" ht="18" customHeight="1" thickTop="1"/>
    <row r="33" spans="1:14" ht="18" customHeight="1">
      <c r="J33" s="21"/>
      <c r="K33" s="21"/>
      <c r="L33" s="21"/>
      <c r="M33" s="21"/>
      <c r="N33" s="21"/>
    </row>
    <row r="34" spans="1:14" ht="18" customHeight="1">
      <c r="J34" s="21"/>
      <c r="K34" s="21"/>
      <c r="L34" s="21"/>
      <c r="M34" s="21"/>
      <c r="N34" s="21"/>
    </row>
    <row r="35" spans="1:14" ht="18" customHeight="1">
      <c r="J35" s="21"/>
      <c r="K35" s="21"/>
      <c r="L35" s="21"/>
      <c r="M35" s="21"/>
      <c r="N35" s="21"/>
    </row>
    <row r="36" spans="1:14" ht="18" customHeight="1">
      <c r="J36" s="21"/>
      <c r="K36" s="21"/>
      <c r="L36" s="21"/>
      <c r="M36" s="21"/>
      <c r="N36" s="21"/>
    </row>
    <row r="37" spans="1:14" ht="18" customHeight="1">
      <c r="J37" s="21"/>
      <c r="K37" s="21"/>
      <c r="L37" s="21"/>
      <c r="M37" s="21"/>
      <c r="N37" s="21"/>
    </row>
    <row r="38" spans="1:14" ht="18" customHeight="1">
      <c r="J38" s="21"/>
      <c r="K38" s="21"/>
      <c r="L38" s="21"/>
      <c r="M38" s="21"/>
      <c r="N38" s="21"/>
    </row>
    <row r="39" spans="1:14" ht="18" customHeight="1">
      <c r="J39" s="21"/>
      <c r="K39" s="21"/>
      <c r="L39" s="21"/>
      <c r="M39" s="21"/>
      <c r="N39" s="21"/>
    </row>
    <row r="40" spans="1:14" ht="18" customHeight="1">
      <c r="J40" s="21"/>
      <c r="K40" s="21"/>
      <c r="L40" s="21"/>
      <c r="M40" s="21"/>
      <c r="N40" s="21"/>
    </row>
    <row r="41" spans="1:14" ht="18" customHeight="1">
      <c r="J41" s="21"/>
      <c r="K41" s="21"/>
      <c r="L41" s="21"/>
      <c r="M41" s="21"/>
      <c r="N41" s="21"/>
    </row>
    <row r="42" spans="1:14" ht="18" customHeight="1">
      <c r="J42" s="21"/>
      <c r="K42" s="21"/>
      <c r="L42" s="21"/>
      <c r="M42" s="21"/>
      <c r="N42" s="21"/>
    </row>
    <row r="44" spans="1:14" ht="18" customHeight="1">
      <c r="A44" s="16" t="s">
        <v>303</v>
      </c>
      <c r="B44" s="16" t="s">
        <v>303</v>
      </c>
    </row>
    <row r="45" spans="1:14" ht="18" customHeight="1">
      <c r="A45" s="16" t="s">
        <v>308</v>
      </c>
      <c r="B45" s="16" t="s">
        <v>308</v>
      </c>
    </row>
    <row r="46" spans="1:14" ht="18" customHeight="1">
      <c r="A46" s="16" t="s">
        <v>309</v>
      </c>
      <c r="B46" s="16" t="s">
        <v>296</v>
      </c>
    </row>
    <row r="47" spans="1:14" ht="18" customHeight="1">
      <c r="B47" s="16" t="s">
        <v>309</v>
      </c>
    </row>
  </sheetData>
  <mergeCells count="230"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</mergeCells>
  <phoneticPr fontId="47" type="noConversion"/>
  <dataValidations count="2">
    <dataValidation type="list" allowBlank="1" showInputMessage="1" showErrorMessage="1" sqref="B3:B4 J10:J29" xr:uid="{00000000-0002-0000-0A00-000000000000}">
      <formula1>$B$44:$B$47</formula1>
    </dataValidation>
    <dataValidation type="list" allowBlank="1" showInputMessage="1" showErrorMessage="1" sqref="J4:J5 J6:J7 J8:J9" xr:uid="{34F9DEBF-4676-42BB-A246-95F47D74D293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D20"/>
  <sheetViews>
    <sheetView workbookViewId="0">
      <selection activeCell="N10" sqref="N10:R11"/>
    </sheetView>
  </sheetViews>
  <sheetFormatPr defaultColWidth="9.75" defaultRowHeight="20.399999999999999" customHeight="1"/>
  <sheetData>
    <row r="1" spans="1:30" ht="20.399999999999999" customHeight="1" thickBot="1">
      <c r="A1" s="70" t="s">
        <v>316</v>
      </c>
      <c r="B1" s="70"/>
      <c r="C1" s="70"/>
      <c r="D1" s="70"/>
      <c r="E1" s="70"/>
      <c r="G1" s="225" t="s">
        <v>317</v>
      </c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15"/>
      <c r="T1" s="15"/>
      <c r="U1" s="15"/>
      <c r="V1" s="15"/>
      <c r="AA1" cm="1">
        <f t="array" aca="1" ref="AA1" ca="1">INDIRECT("经历点数与履历"&amp;"!D5")*AA2*AA3</f>
        <v>1600</v>
      </c>
      <c r="AC1">
        <v>0</v>
      </c>
      <c r="AD1">
        <v>200</v>
      </c>
    </row>
    <row r="2" spans="1:30" ht="20.399999999999999" customHeight="1" thickTop="1" thickBot="1">
      <c r="A2" s="11" t="s">
        <v>318</v>
      </c>
      <c r="B2" s="94" t="s">
        <v>319</v>
      </c>
      <c r="C2" s="94"/>
      <c r="D2" s="11" t="s">
        <v>362</v>
      </c>
      <c r="E2" s="12">
        <v>7</v>
      </c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15"/>
      <c r="T2" s="15"/>
      <c r="U2" s="15"/>
      <c r="V2" s="15"/>
      <c r="AA2" cm="1">
        <f t="array" aca="1" ref="AA2" ca="1">LOOKUP(INDIRECT("经历点数与履历"&amp;"!D5"),AC1:AC6,AD1:AD6)</f>
        <v>200</v>
      </c>
      <c r="AC2">
        <v>20</v>
      </c>
      <c r="AD2">
        <v>250</v>
      </c>
    </row>
    <row r="3" spans="1:30" ht="20.399999999999999" customHeight="1" thickTop="1" thickBot="1">
      <c r="A3" s="11" t="s">
        <v>361</v>
      </c>
      <c r="B3" s="63" t="str">
        <f ca="1">AA1 &amp; "通"</f>
        <v>1600通</v>
      </c>
      <c r="C3" s="63" t="str">
        <f ca="1">AA1/200 &amp; "贯"</f>
        <v>8贯</v>
      </c>
      <c r="D3" s="11" t="s">
        <v>363</v>
      </c>
      <c r="E3" s="12" t="s">
        <v>355</v>
      </c>
      <c r="G3" s="13" t="s">
        <v>320</v>
      </c>
      <c r="H3" s="13" t="s">
        <v>321</v>
      </c>
      <c r="I3" s="224" t="s">
        <v>96</v>
      </c>
      <c r="J3" s="224"/>
      <c r="K3" s="224"/>
      <c r="L3" s="224"/>
      <c r="M3" s="224"/>
      <c r="N3" s="224" t="s">
        <v>104</v>
      </c>
      <c r="O3" s="224"/>
      <c r="P3" s="224"/>
      <c r="Q3" s="224"/>
      <c r="R3" s="224"/>
      <c r="S3" s="15"/>
      <c r="T3" s="15"/>
      <c r="U3" s="15"/>
      <c r="V3" s="15"/>
      <c r="AA3">
        <f>1+(E2-1)/10</f>
        <v>1.6</v>
      </c>
      <c r="AC3">
        <v>25</v>
      </c>
      <c r="AD3">
        <v>300</v>
      </c>
    </row>
    <row r="4" spans="1:30" ht="20.399999999999999" customHeight="1" thickTop="1">
      <c r="A4" s="222" t="s">
        <v>322</v>
      </c>
      <c r="B4" s="217" t="s">
        <v>323</v>
      </c>
      <c r="C4" s="217"/>
      <c r="D4" s="217"/>
      <c r="E4" s="217"/>
      <c r="G4" s="131" t="s">
        <v>324</v>
      </c>
      <c r="H4" s="131">
        <v>4</v>
      </c>
      <c r="I4" s="131" t="s">
        <v>325</v>
      </c>
      <c r="J4" s="131"/>
      <c r="K4" s="131"/>
      <c r="L4" s="131"/>
      <c r="M4" s="131"/>
      <c r="N4" s="227" t="s">
        <v>380</v>
      </c>
      <c r="O4" s="131"/>
      <c r="P4" s="131"/>
      <c r="Q4" s="131"/>
      <c r="R4" s="131"/>
      <c r="S4" s="15"/>
      <c r="T4" s="15"/>
      <c r="U4" s="15"/>
      <c r="V4" s="15"/>
      <c r="AC4">
        <v>30</v>
      </c>
      <c r="AD4">
        <v>350</v>
      </c>
    </row>
    <row r="5" spans="1:30" ht="20.399999999999999" customHeight="1" thickBot="1">
      <c r="A5" s="223"/>
      <c r="B5" s="67"/>
      <c r="C5" s="67"/>
      <c r="D5" s="67"/>
      <c r="E5" s="67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5"/>
      <c r="T5" s="15"/>
      <c r="U5" s="15"/>
      <c r="V5" s="15"/>
      <c r="AC5">
        <v>35</v>
      </c>
      <c r="AD5">
        <v>400</v>
      </c>
    </row>
    <row r="6" spans="1:30" ht="20.399999999999999" customHeight="1" thickTop="1" thickBot="1">
      <c r="A6" s="70" t="s">
        <v>351</v>
      </c>
      <c r="B6" s="70"/>
      <c r="C6" s="70"/>
      <c r="D6" s="70"/>
      <c r="E6" s="70"/>
      <c r="G6" s="131" t="s">
        <v>358</v>
      </c>
      <c r="H6" s="131">
        <v>1</v>
      </c>
      <c r="I6" s="131" t="s">
        <v>359</v>
      </c>
      <c r="J6" s="131"/>
      <c r="K6" s="131"/>
      <c r="L6" s="131"/>
      <c r="M6" s="131"/>
      <c r="N6" s="131" t="s">
        <v>360</v>
      </c>
      <c r="O6" s="131"/>
      <c r="P6" s="131"/>
      <c r="Q6" s="131"/>
      <c r="R6" s="131"/>
      <c r="S6" s="15"/>
      <c r="T6" s="15"/>
      <c r="U6" s="15"/>
      <c r="V6" s="15"/>
      <c r="AC6">
        <v>40</v>
      </c>
      <c r="AD6">
        <v>450</v>
      </c>
    </row>
    <row r="7" spans="1:30" ht="20.399999999999999" customHeight="1" thickTop="1" thickBot="1">
      <c r="A7" s="11" t="s">
        <v>352</v>
      </c>
      <c r="B7" s="11" t="s">
        <v>353</v>
      </c>
      <c r="C7" s="218" t="s">
        <v>354</v>
      </c>
      <c r="D7" s="218"/>
      <c r="E7" s="218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5"/>
      <c r="T7" s="15"/>
      <c r="U7" s="15"/>
      <c r="V7" s="15"/>
    </row>
    <row r="8" spans="1:30" ht="20.399999999999999" customHeight="1" thickTop="1">
      <c r="A8" s="219"/>
      <c r="B8" s="219"/>
      <c r="C8" s="221"/>
      <c r="D8" s="221"/>
      <c r="E8" s="22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5"/>
      <c r="T8" s="15"/>
      <c r="U8" s="15"/>
      <c r="V8" s="15"/>
    </row>
    <row r="9" spans="1:30" ht="20.399999999999999" customHeight="1" thickBot="1">
      <c r="A9" s="220"/>
      <c r="B9" s="220"/>
      <c r="C9" s="220"/>
      <c r="D9" s="220"/>
      <c r="E9" s="220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5"/>
      <c r="T9" s="15"/>
      <c r="U9" s="15"/>
      <c r="V9" s="15"/>
    </row>
    <row r="10" spans="1:30" ht="20.399999999999999" customHeight="1" thickTop="1">
      <c r="A10" s="219"/>
      <c r="B10" s="219"/>
      <c r="C10" s="221"/>
      <c r="D10" s="221"/>
      <c r="E10" s="22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5"/>
      <c r="T10" s="15"/>
      <c r="U10" s="15"/>
      <c r="V10" s="15"/>
    </row>
    <row r="11" spans="1:30" ht="20.399999999999999" customHeight="1" thickBot="1">
      <c r="A11" s="220"/>
      <c r="B11" s="220"/>
      <c r="C11" s="220"/>
      <c r="D11" s="220"/>
      <c r="E11" s="220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5"/>
      <c r="T11" s="15"/>
      <c r="U11" s="15"/>
      <c r="V11" s="15"/>
    </row>
    <row r="12" spans="1:30" ht="20.399999999999999" customHeight="1" thickTop="1">
      <c r="A12" s="219"/>
      <c r="B12" s="219"/>
      <c r="C12" s="221"/>
      <c r="D12" s="221"/>
      <c r="E12" s="22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5"/>
      <c r="T12" s="15"/>
      <c r="U12" s="15"/>
      <c r="V12" s="15"/>
    </row>
    <row r="13" spans="1:30" ht="20.399999999999999" customHeight="1" thickBot="1">
      <c r="A13" s="220"/>
      <c r="B13" s="220"/>
      <c r="C13" s="220"/>
      <c r="D13" s="220"/>
      <c r="E13" s="220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5"/>
      <c r="T13" s="15"/>
      <c r="U13" s="15"/>
      <c r="V13" s="15"/>
    </row>
    <row r="14" spans="1:30" ht="20.399999999999999" customHeight="1" thickTop="1">
      <c r="A14" s="219"/>
      <c r="B14" s="219"/>
      <c r="C14" s="221"/>
      <c r="D14" s="221"/>
      <c r="E14" s="22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5"/>
      <c r="T14" s="15"/>
      <c r="U14" s="15"/>
      <c r="V14" s="15"/>
    </row>
    <row r="15" spans="1:30" ht="20.399999999999999" customHeight="1" thickBot="1">
      <c r="A15" s="220"/>
      <c r="B15" s="220"/>
      <c r="C15" s="220"/>
      <c r="D15" s="220"/>
      <c r="E15" s="220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5"/>
      <c r="T15" s="15"/>
      <c r="U15" s="15"/>
      <c r="V15" s="15"/>
    </row>
    <row r="16" spans="1:30" ht="20.399999999999999" customHeight="1" thickTop="1">
      <c r="A16" s="219"/>
      <c r="B16" s="219"/>
      <c r="C16" s="221"/>
      <c r="D16" s="221"/>
      <c r="E16" s="22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5"/>
      <c r="T16" s="15"/>
      <c r="U16" s="15"/>
      <c r="V16" s="15"/>
    </row>
    <row r="17" spans="1:22" ht="20.399999999999999" customHeight="1" thickBot="1">
      <c r="A17" s="220"/>
      <c r="B17" s="220"/>
      <c r="C17" s="220"/>
      <c r="D17" s="220"/>
      <c r="E17" s="220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5"/>
      <c r="T17" s="15"/>
      <c r="U17" s="15"/>
      <c r="V17" s="15"/>
    </row>
    <row r="18" spans="1:22" ht="20.399999999999999" customHeight="1" thickTop="1">
      <c r="A18" s="219"/>
      <c r="B18" s="219"/>
      <c r="C18" s="221"/>
      <c r="D18" s="221"/>
      <c r="E18" s="22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</row>
    <row r="19" spans="1:22" ht="20.399999999999999" customHeight="1" thickBot="1">
      <c r="A19" s="220"/>
      <c r="B19" s="220"/>
      <c r="C19" s="220"/>
      <c r="D19" s="220"/>
      <c r="E19" s="220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</row>
    <row r="20" spans="1:22" ht="20.399999999999999" customHeight="1" thickTop="1"/>
  </sheetData>
  <protectedRanges>
    <protectedRange sqref="D10:E10 B2:B5 B7:B14" name="角色基础信息区域"/>
  </protectedRanges>
  <mergeCells count="59"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  <mergeCell ref="A10:A11"/>
    <mergeCell ref="B10:B11"/>
    <mergeCell ref="A12:A13"/>
    <mergeCell ref="B12:B13"/>
    <mergeCell ref="C10:E11"/>
    <mergeCell ref="C12:E13"/>
    <mergeCell ref="N16:R17"/>
    <mergeCell ref="I18:M19"/>
    <mergeCell ref="N18:R19"/>
    <mergeCell ref="I12:M13"/>
    <mergeCell ref="N12:R13"/>
    <mergeCell ref="I16:M17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I3:M3"/>
    <mergeCell ref="N3:R3"/>
    <mergeCell ref="G1:R2"/>
    <mergeCell ref="I4:M5"/>
    <mergeCell ref="N4:R5"/>
    <mergeCell ref="I10:M11"/>
    <mergeCell ref="N10:R11"/>
    <mergeCell ref="I6:M7"/>
    <mergeCell ref="N6:R7"/>
    <mergeCell ref="I14:M15"/>
    <mergeCell ref="N14:R15"/>
    <mergeCell ref="I8:M9"/>
    <mergeCell ref="N8:R9"/>
    <mergeCell ref="A8:A9"/>
    <mergeCell ref="B8:B9"/>
    <mergeCell ref="C8:E9"/>
    <mergeCell ref="A4:A5"/>
    <mergeCell ref="G4:G5"/>
    <mergeCell ref="G6:G7"/>
    <mergeCell ref="A1:E1"/>
    <mergeCell ref="B2:C2"/>
    <mergeCell ref="B4:E5"/>
    <mergeCell ref="C7:E7"/>
    <mergeCell ref="A6:E6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4"/>
  <sheetData>
    <row r="1" spans="1:23" ht="20.399999999999999" customHeight="1">
      <c r="A1" s="185" t="s">
        <v>326</v>
      </c>
      <c r="B1" s="186"/>
      <c r="C1" s="186"/>
      <c r="D1" s="186"/>
      <c r="E1" s="186"/>
      <c r="F1" s="186"/>
      <c r="G1" s="186"/>
      <c r="H1" s="186"/>
      <c r="I1" s="187"/>
      <c r="K1" s="185" t="s">
        <v>327</v>
      </c>
      <c r="L1" s="186"/>
      <c r="M1" s="186"/>
      <c r="N1" s="186"/>
      <c r="O1" s="186"/>
      <c r="P1" s="186"/>
      <c r="Q1" s="186"/>
      <c r="R1" s="186"/>
      <c r="S1" s="187"/>
    </row>
    <row r="2" spans="1:23" ht="20.399999999999999" customHeight="1">
      <c r="A2" s="188"/>
      <c r="B2" s="189"/>
      <c r="C2" s="189"/>
      <c r="D2" s="189"/>
      <c r="E2" s="189"/>
      <c r="F2" s="189"/>
      <c r="G2" s="189"/>
      <c r="H2" s="189"/>
      <c r="I2" s="190"/>
      <c r="K2" s="188"/>
      <c r="L2" s="189"/>
      <c r="M2" s="189"/>
      <c r="N2" s="189"/>
      <c r="O2" s="189"/>
      <c r="P2" s="189"/>
      <c r="Q2" s="189"/>
      <c r="R2" s="189"/>
      <c r="S2" s="190"/>
    </row>
    <row r="3" spans="1:23" ht="20.399999999999999" customHeight="1">
      <c r="A3" s="1" t="s">
        <v>156</v>
      </c>
      <c r="B3" s="144">
        <v>1</v>
      </c>
      <c r="C3" s="144"/>
      <c r="D3" s="1" t="s">
        <v>157</v>
      </c>
      <c r="E3" s="144" t="s">
        <v>328</v>
      </c>
      <c r="F3" s="144"/>
      <c r="G3" s="1" t="s">
        <v>158</v>
      </c>
      <c r="H3" s="144" t="s">
        <v>329</v>
      </c>
      <c r="I3" s="144"/>
      <c r="K3" s="145" t="s">
        <v>157</v>
      </c>
      <c r="L3" s="147"/>
      <c r="M3" s="1" t="s">
        <v>156</v>
      </c>
      <c r="N3" s="1" t="s">
        <v>186</v>
      </c>
      <c r="O3" s="1" t="s">
        <v>87</v>
      </c>
      <c r="P3" s="1" t="s">
        <v>187</v>
      </c>
      <c r="Q3" s="1" t="s">
        <v>330</v>
      </c>
      <c r="R3" s="1" t="s">
        <v>331</v>
      </c>
      <c r="S3" s="1" t="s">
        <v>332</v>
      </c>
    </row>
    <row r="4" spans="1:23" ht="20.399999999999999" customHeight="1">
      <c r="A4" s="1" t="s">
        <v>115</v>
      </c>
      <c r="B4" s="144">
        <v>20</v>
      </c>
      <c r="C4" s="144"/>
      <c r="D4" s="1" t="s">
        <v>333</v>
      </c>
      <c r="E4" s="2">
        <v>25</v>
      </c>
      <c r="F4" s="2">
        <f>E4+R4</f>
        <v>25</v>
      </c>
      <c r="G4" s="1" t="s">
        <v>162</v>
      </c>
      <c r="H4" s="144" t="s">
        <v>334</v>
      </c>
      <c r="I4" s="144"/>
      <c r="K4" s="176" t="s">
        <v>335</v>
      </c>
      <c r="L4" s="178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>
      <c r="A5" s="1" t="s">
        <v>336</v>
      </c>
      <c r="B5" s="2">
        <v>8</v>
      </c>
      <c r="C5" s="2">
        <f>B5+S4</f>
        <v>8</v>
      </c>
      <c r="D5" s="1" t="s">
        <v>337</v>
      </c>
      <c r="E5" s="204">
        <f>E4/10</f>
        <v>2.5</v>
      </c>
      <c r="F5" s="204"/>
      <c r="G5" s="1" t="s">
        <v>185</v>
      </c>
      <c r="H5" s="144">
        <f>ROUNDDOWN((17/144)*POWER(((F4-Q4)/5-12),2)+3,0)</f>
        <v>17</v>
      </c>
      <c r="I5" s="144"/>
      <c r="K5" s="228" t="s">
        <v>338</v>
      </c>
      <c r="L5" s="228"/>
      <c r="M5" s="164" t="s">
        <v>190</v>
      </c>
      <c r="N5" s="165"/>
      <c r="O5" s="165"/>
      <c r="P5" s="165"/>
      <c r="Q5" s="165"/>
      <c r="R5" s="165"/>
      <c r="S5" s="166"/>
    </row>
    <row r="6" spans="1:23" ht="20.399999999999999" customHeight="1">
      <c r="A6" s="174" t="s">
        <v>338</v>
      </c>
      <c r="B6" s="161" t="s">
        <v>190</v>
      </c>
      <c r="C6" s="161"/>
      <c r="D6" s="161"/>
      <c r="E6" s="161"/>
      <c r="F6" s="161"/>
      <c r="G6" s="161"/>
      <c r="H6" s="161"/>
      <c r="I6" s="161"/>
      <c r="K6" s="150"/>
      <c r="L6" s="150"/>
      <c r="M6" s="169"/>
      <c r="N6" s="170"/>
      <c r="O6" s="170"/>
      <c r="P6" s="170"/>
      <c r="Q6" s="170"/>
      <c r="R6" s="170"/>
      <c r="S6" s="171"/>
    </row>
    <row r="7" spans="1:23" ht="20.399999999999999" customHeight="1">
      <c r="A7" s="174"/>
      <c r="B7" s="161"/>
      <c r="C7" s="161"/>
      <c r="D7" s="161"/>
      <c r="E7" s="161"/>
      <c r="F7" s="161"/>
      <c r="G7" s="161"/>
      <c r="H7" s="161"/>
      <c r="I7" s="161"/>
      <c r="K7" s="179" t="s">
        <v>339</v>
      </c>
      <c r="L7" s="180"/>
      <c r="M7" s="164" t="s">
        <v>340</v>
      </c>
      <c r="N7" s="165"/>
      <c r="O7" s="165"/>
      <c r="P7" s="165"/>
      <c r="Q7" s="165"/>
      <c r="R7" s="165"/>
      <c r="S7" s="166"/>
    </row>
    <row r="8" spans="1:23" ht="20.399999999999999" customHeight="1">
      <c r="A8" s="174" t="s">
        <v>175</v>
      </c>
      <c r="B8" s="161" t="s">
        <v>341</v>
      </c>
      <c r="C8" s="161"/>
      <c r="D8" s="161"/>
      <c r="E8" s="161"/>
      <c r="F8" s="161"/>
      <c r="G8" s="161"/>
      <c r="H8" s="161"/>
      <c r="I8" s="161"/>
      <c r="K8" s="229"/>
      <c r="L8" s="230"/>
      <c r="M8" s="167"/>
      <c r="N8" s="141"/>
      <c r="O8" s="141"/>
      <c r="P8" s="141"/>
      <c r="Q8" s="141"/>
      <c r="R8" s="141"/>
      <c r="S8" s="168"/>
    </row>
    <row r="9" spans="1:23" ht="20.399999999999999" customHeight="1">
      <c r="A9" s="174"/>
      <c r="B9" s="161"/>
      <c r="C9" s="161"/>
      <c r="D9" s="161"/>
      <c r="E9" s="161"/>
      <c r="F9" s="161"/>
      <c r="G9" s="161"/>
      <c r="H9" s="161"/>
      <c r="I9" s="161"/>
      <c r="K9" s="229"/>
      <c r="L9" s="230"/>
      <c r="M9" s="167"/>
      <c r="N9" s="141"/>
      <c r="O9" s="141"/>
      <c r="P9" s="141"/>
      <c r="Q9" s="141"/>
      <c r="R9" s="141"/>
      <c r="S9" s="168"/>
    </row>
    <row r="10" spans="1:23" ht="20.399999999999999" customHeight="1">
      <c r="A10" s="228" t="s">
        <v>339</v>
      </c>
      <c r="B10" s="164" t="s">
        <v>342</v>
      </c>
      <c r="C10" s="165"/>
      <c r="D10" s="165"/>
      <c r="E10" s="165"/>
      <c r="F10" s="165"/>
      <c r="G10" s="165"/>
      <c r="H10" s="165"/>
      <c r="I10" s="166"/>
      <c r="K10" s="181"/>
      <c r="L10" s="182"/>
      <c r="M10" s="169"/>
      <c r="N10" s="170"/>
      <c r="O10" s="170"/>
      <c r="P10" s="170"/>
      <c r="Q10" s="170"/>
      <c r="R10" s="170"/>
      <c r="S10" s="171"/>
    </row>
    <row r="11" spans="1:23" ht="20.399999999999999" customHeight="1">
      <c r="A11" s="149"/>
      <c r="B11" s="167"/>
      <c r="C11" s="141"/>
      <c r="D11" s="141"/>
      <c r="E11" s="141"/>
      <c r="F11" s="141"/>
      <c r="G11" s="141"/>
      <c r="H11" s="141"/>
      <c r="I11" s="168"/>
      <c r="K11" s="81" t="s">
        <v>343</v>
      </c>
      <c r="L11" s="82"/>
      <c r="M11" s="82"/>
      <c r="N11" s="82"/>
      <c r="O11" s="82"/>
      <c r="P11" s="73"/>
      <c r="Q11" s="73"/>
      <c r="R11" s="73"/>
      <c r="S11" s="73"/>
    </row>
    <row r="12" spans="1:23" ht="20.399999999999999" customHeight="1">
      <c r="A12" s="149"/>
      <c r="B12" s="167"/>
      <c r="C12" s="141"/>
      <c r="D12" s="141"/>
      <c r="E12" s="141"/>
      <c r="F12" s="141"/>
      <c r="G12" s="141"/>
      <c r="H12" s="141"/>
      <c r="I12" s="168"/>
      <c r="K12" s="68" t="s">
        <v>17</v>
      </c>
      <c r="L12" s="68"/>
      <c r="M12" s="68"/>
      <c r="N12" s="68" t="s">
        <v>18</v>
      </c>
      <c r="O12" s="68"/>
      <c r="P12" s="68"/>
      <c r="Q12" s="68" t="s">
        <v>19</v>
      </c>
      <c r="R12" s="68"/>
      <c r="S12" s="68"/>
    </row>
    <row r="13" spans="1:23" ht="20.399999999999999" customHeight="1">
      <c r="A13" s="150"/>
      <c r="B13" s="169"/>
      <c r="C13" s="170"/>
      <c r="D13" s="170"/>
      <c r="E13" s="170"/>
      <c r="F13" s="170"/>
      <c r="G13" s="170"/>
      <c r="H13" s="170"/>
      <c r="I13" s="171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>
      <c r="A14" s="72" t="s">
        <v>344</v>
      </c>
      <c r="B14" s="72"/>
      <c r="C14" s="72"/>
      <c r="D14" s="72"/>
      <c r="E14" s="72"/>
      <c r="F14" s="73"/>
      <c r="G14" s="73"/>
      <c r="H14" s="73"/>
      <c r="I14" s="73"/>
      <c r="W14" s="9"/>
    </row>
    <row r="15" spans="1:23" ht="20.399999999999999" customHeight="1">
      <c r="A15" s="68" t="s">
        <v>17</v>
      </c>
      <c r="B15" s="68"/>
      <c r="C15" s="68"/>
      <c r="D15" s="68" t="s">
        <v>18</v>
      </c>
      <c r="E15" s="68"/>
      <c r="F15" s="68"/>
      <c r="G15" s="68" t="s">
        <v>19</v>
      </c>
      <c r="H15" s="68"/>
      <c r="I15" s="68"/>
    </row>
    <row r="16" spans="1:23" ht="20.399999999999999" customHeight="1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>
      <c r="A17" s="83" t="s">
        <v>345</v>
      </c>
      <c r="B17" s="84"/>
      <c r="C17" s="84"/>
      <c r="D17" s="84"/>
      <c r="E17" s="84"/>
      <c r="F17" s="73"/>
      <c r="G17" s="73"/>
      <c r="H17" s="73"/>
      <c r="I17" s="73"/>
    </row>
    <row r="18" spans="1:9" ht="20.399999999999999" customHeight="1">
      <c r="A18" s="68" t="s">
        <v>346</v>
      </c>
      <c r="B18" s="68"/>
      <c r="C18" s="68"/>
      <c r="D18" s="68" t="s">
        <v>347</v>
      </c>
      <c r="E18" s="68"/>
      <c r="F18" s="68"/>
      <c r="G18" s="68" t="s">
        <v>19</v>
      </c>
      <c r="H18" s="68"/>
      <c r="I18" s="68"/>
    </row>
    <row r="19" spans="1:9" ht="20.399999999999999" customHeight="1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/>
    <row r="21" spans="1:9" ht="20.399999999999999" customHeight="1"/>
    <row r="22" spans="1:9" ht="20.399999999999999" customHeight="1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  <mergeCell ref="A17:E17"/>
    <mergeCell ref="F17:I17"/>
    <mergeCell ref="A18:C18"/>
    <mergeCell ref="D18:F18"/>
    <mergeCell ref="G18:I18"/>
    <mergeCell ref="A14:E14"/>
    <mergeCell ref="F14:I14"/>
    <mergeCell ref="A15:C15"/>
    <mergeCell ref="D15:F15"/>
    <mergeCell ref="G15:I15"/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657969373@qq.com</cp:lastModifiedBy>
  <dcterms:created xsi:type="dcterms:W3CDTF">2015-06-05T18:19:00Z</dcterms:created>
  <dcterms:modified xsi:type="dcterms:W3CDTF">2025-04-21T12:49:15Z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