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943" windowHeight="11255" tabRatio="875" activeTab="1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44525"/>
</workbook>
</file>

<file path=xl/comments1.xml><?xml version="1.0" encoding="utf-8"?>
<comments xmlns="http://schemas.openxmlformats.org/spreadsheetml/2006/main">
  <authors>
    <author>MECHREVO</author>
    <author>DRAGOD E</author>
  </authors>
  <commentList>
    <comment ref="O3" authorId="0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体质+总经历点</t>
        </r>
      </text>
    </comment>
    <comment ref="M13" authorId="0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职业熟练技能：阈值+18
水下时：检定值-10</t>
        </r>
      </text>
    </comment>
    <comment ref="P13" authorId="0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职业熟练技能：阈值+18
水下时：检定值-10</t>
        </r>
      </text>
    </comment>
    <comment ref="S13" authorId="0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水下时：检定值-10</t>
        </r>
      </text>
    </comment>
    <comment ref="B21" authorId="1">
      <text>
        <r>
          <rPr>
            <b/>
            <sz val="9"/>
            <rFont val="宋体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>
  <authors>
    <author>24477</author>
  </authors>
  <commentList>
    <comment ref="W6" authorId="0">
      <text>
        <r>
          <rPr>
            <sz val="9"/>
            <rFont val="宋体"/>
            <charset val="134"/>
          </rPr>
          <t>若无驯兽则忽略，请勿删除</t>
        </r>
      </text>
    </comment>
    <comment ref="W7" authorId="0">
      <text>
        <r>
          <rPr>
            <sz val="9"/>
            <rFont val="宋体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>
  <authors>
    <author>MECHREVO</author>
  </authors>
  <commentList>
    <comment ref="C5" authorId="0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效果1内部附加说明</t>
        </r>
      </text>
    </comment>
    <comment ref="D18" authorId="0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>
  <authors>
    <author>MECHREVO</author>
  </authors>
  <commentList>
    <comment ref="D16" authorId="0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特殊战技1内部附加说明</t>
        </r>
      </text>
    </comment>
    <comment ref="D18" authorId="0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>
  <authors>
    <author>DRAGOD E</author>
  </authors>
  <commentList>
    <comment ref="D25" authorId="0">
      <text>
        <r>
          <rPr>
            <sz val="9"/>
            <rFont val="宋体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sharedStrings.xml><?xml version="1.0" encoding="utf-8"?>
<sst xmlns="http://schemas.openxmlformats.org/spreadsheetml/2006/main" count="849" uniqueCount="380">
  <si>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</si>
  <si>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</si>
  <si>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</si>
  <si>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</si>
  <si>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</si>
  <si>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</si>
  <si>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</si>
  <si>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</si>
  <si>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</si>
  <si>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</si>
  <si>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</si>
  <si>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</si>
  <si>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</si>
  <si>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</si>
  <si>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</si>
  <si>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</si>
  <si>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</si>
  <si>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</si>
  <si>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</si>
  <si>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</si>
  <si>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</si>
  <si>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</si>
  <si>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</si>
  <si>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</si>
  <si>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</si>
  <si>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</si>
  <si>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</si>
  <si>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</si>
  <si>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</si>
  <si>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</si>
  <si>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</si>
  <si>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</si>
  <si>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</si>
  <si>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</si>
  <si>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</si>
  <si>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</si>
  <si>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</si>
  <si>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</si>
  <si>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</si>
  <si>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</si>
  <si>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</si>
  <si>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</si>
  <si>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</si>
  <si>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</si>
  <si>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</si>
  <si>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</si>
  <si>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</si>
  <si>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</si>
  <si>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</si>
  <si>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</si>
  <si>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</si>
  <si>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</si>
  <si>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</si>
  <si>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</si>
  <si>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</si>
  <si>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</si>
  <si>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</si>
  <si>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</si>
  <si>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</si>
  <si>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</si>
  <si>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</si>
  <si>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</si>
  <si>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</si>
  <si>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</si>
  <si>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</si>
  <si>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</si>
  <si>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</si>
  <si>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</si>
  <si>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</si>
  <si>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</si>
  <si>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</si>
  <si>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</si>
  <si>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</si>
  <si>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</si>
  <si>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</si>
  <si>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</si>
  <si>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</si>
  <si>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</si>
  <si>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</si>
  <si>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</si>
  <si>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</si>
  <si>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</si>
  <si>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</si>
  <si>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</si>
  <si>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</si>
  <si>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</si>
  <si>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</si>
  <si>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</si>
  <si>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</si>
  <si>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</si>
  <si>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</si>
  <si>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</si>
  <si>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</si>
  <si>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</si>
  <si>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御海行者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</si>
  <si>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</si>
  <si>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</si>
  <si>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</si>
  <si>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</si>
  <si>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</si>
  <si>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</si>
  <si>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</si>
  <si>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</si>
  <si>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</si>
  <si>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</si>
  <si>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</si>
  <si>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</si>
  <si>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</si>
  <si>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</si>
  <si>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</si>
  <si>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</si>
  <si>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</si>
  <si>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</si>
  <si>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</si>
  <si>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</si>
  <si>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</si>
  <si>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</si>
  <si>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</si>
  <si>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</si>
  <si>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</si>
  <si>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</si>
  <si>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</si>
  <si>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</si>
  <si>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</si>
  <si>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</si>
  <si>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</si>
  <si>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</si>
  <si>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</si>
  <si>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</si>
  <si>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</si>
  <si>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</si>
  <si>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</si>
  <si>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</si>
  <si>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</si>
  <si>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武者职业升到3级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</si>
  <si>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</si>
  <si>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</si>
  <si>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</si>
  <si>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</si>
  <si>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</si>
  <si>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</si>
  <si>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</si>
  <si>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</si>
  <si>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</si>
  <si>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</si>
  <si>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</si>
  <si>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</si>
  <si>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</si>
  <si>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</si>
  <si>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</si>
  <si>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</si>
  <si>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</si>
  <si>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</si>
  <si>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</si>
  <si>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</si>
  <si>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亲手干掉一名敌人之后，本回合和下回合内全身护甲值+1，伤害+2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</si>
  <si>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</si>
  <si>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</si>
  <si>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</si>
  <si>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</si>
  <si>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</si>
  <si>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</si>
  <si>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</si>
  <si>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</si>
  <si>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</si>
  <si>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</si>
  <si>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</si>
  <si>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</si>
  <si>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</si>
  <si>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</si>
  <si>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</si>
  <si>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</si>
  <si>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</si>
  <si>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</si>
  <si>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</si>
  <si>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</si>
  <si>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</si>
  <si>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若攻击处于长距离武器惩罚范围内的敌人，可用武器威力减半代替进攻阈值减半
可以套上刀鞘，将造成伤害的一半转化为sp伤害，可花费1行动点切换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</si>
  <si>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</si>
  <si>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</si>
  <si>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</si>
  <si>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</si>
  <si>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</si>
  <si>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</si>
  <si>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</si>
  <si>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</si>
  <si>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</si>
  <si>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</si>
  <si>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</si>
  <si>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</si>
  <si>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</si>
  <si>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</si>
  <si>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</si>
  <si>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</si>
  <si>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</si>
  <si>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</si>
  <si>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</si>
  <si>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</si>
  <si>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</si>
  <si>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</si>
  <si>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</si>
  <si>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</si>
  <si>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</si>
  <si>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</si>
  <si>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</si>
  <si>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</si>
  <si>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</si>
  <si>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</si>
  <si>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</si>
  <si>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</si>
  <si>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</si>
  <si>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</si>
  <si>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</si>
  <si>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</si>
  <si>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</si>
  <si>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</si>
  <si>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</si>
  <si>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</si>
  <si>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</si>
  <si>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</si>
  <si>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</si>
  <si>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</si>
  <si>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</si>
  <si>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</si>
  <si>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</si>
  <si>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</si>
  <si>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</si>
  <si>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</si>
  <si>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</si>
  <si>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</si>
  <si>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</si>
  <si>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</si>
  <si>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</si>
  <si>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</si>
  <si>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</si>
  <si>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</si>
  <si>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</si>
  <si>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</si>
  <si>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</si>
  <si>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</si>
  <si>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</si>
  <si>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</si>
  <si>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</si>
  <si>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</si>
  <si>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</si>
  <si>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</si>
  <si>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</si>
  <si>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</si>
  <si>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</si>
  <si>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</si>
  <si>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</si>
  <si>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</si>
  <si>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</si>
  <si>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</si>
  <si>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</si>
  <si>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</si>
  <si>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</si>
  <si>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</si>
  <si>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</si>
  <si>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</si>
  <si>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</si>
  <si>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</si>
  <si>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</si>
  <si>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</si>
  <si>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</si>
  <si>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</si>
  <si>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</si>
  <si>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</si>
  <si>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</si>
  <si>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</si>
  <si>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</si>
  <si>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</si>
  <si>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</si>
  <si>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进行冲锋前你可以进行移动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</si>
  <si>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</si>
  <si>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</si>
  <si>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</si>
  <si>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</si>
  <si>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</si>
  <si>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范围1格内有2名队友时，你防守的检定阈值附加战术奖励，最多叠加1层（不可叠加）</t>
  </si>
  <si>
    <t>判定范围内有1名队友即可生效，最多叠加2层</t>
  </si>
  <si>
    <t>判定范围扩大1格，最多叠加3层</t>
  </si>
  <si>
    <t>魔法抗性检定和抵抗检定也可适用本战术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</si>
  <si>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</si>
  <si>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</si>
  <si>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</si>
  <si>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</si>
  <si>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</si>
  <si>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</si>
  <si>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</si>
  <si>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</si>
  <si>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</si>
  <si>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</si>
  <si>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投入3点行动点，下回合你的第一次攻击阈值附加战术奖励</t>
  </si>
  <si>
    <t>下回合你的第一次攻击伤害变为1.5倍</t>
  </si>
  <si>
    <t>下回合你的进攻阈值衰减速度减半</t>
  </si>
  <si>
    <t>下回合你无视一切增加移动消耗的效果</t>
  </si>
  <si>
    <t>蹲伏态势</t>
  </si>
  <si>
    <t>投入3点行动点，到下回合你的行动开始为止，你对抗远程攻击附加战术奖励</t>
  </si>
  <si>
    <t>你对抗直射时防守阈值不再减半</t>
  </si>
  <si>
    <t>你可以花费1行动点蹲下（并非蹲伏姿态），来获得将半掩体视为全掩体的效果，不结束回合，但无法移动，可以再花费1行动点起身</t>
  </si>
  <si>
    <t>立刻进入潜行状态（若有“遁影”技能则进入隐身状态）</t>
  </si>
  <si>
    <t>坚守态势</t>
  </si>
  <si>
    <t>投入3点行动点，到下回合你的行动开始为止，你的防御检定附加战术奖励</t>
  </si>
  <si>
    <t>到下回合你的行动开始为止，你的可以代替你周围4格内的友方角色进行防御检定</t>
  </si>
  <si>
    <t>到下回合你的行动开始为止，你的防守阈值衰减速度减半</t>
  </si>
  <si>
    <t>到下回合你的行动开始为止，你无法被位移，获得一次抵消昏迷/致命伤/致伤的机会</t>
  </si>
  <si>
    <t>反击态势</t>
  </si>
  <si>
    <t xml:space="preserve">  投入3点行动点，到下回合你的行动开始为止，受到对方攻击后，立刻获得一次免行动点的攻击机会（算衰减），且本次进攻阈值附加战术奖励，每回合一次</t>
  </si>
  <si>
    <t>到下回合你的行动开始为止，你的反击机会提到对方进攻之前</t>
  </si>
  <si>
    <t>到下回合你的行动开始为止，你的反击不算阈值衰减</t>
  </si>
  <si>
    <t>到下回合你的行动开始为止，只要对方攻击失败，你就能立刻多反击一次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</si>
  <si>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</si>
  <si>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</si>
  <si>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</si>
  <si>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</si>
  <si>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</si>
  <si>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</si>
  <si>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魔法</t>
  </si>
  <si>
    <t>塑形土管理</t>
  </si>
  <si>
    <t>主修流派</t>
  </si>
  <si>
    <t>仪式之法</t>
  </si>
  <si>
    <t>若非主修流派，流派经验经验获取效率减半</t>
  </si>
  <si>
    <t>魔法流派</t>
  </si>
  <si>
    <t>塑型土上限（g）</t>
  </si>
  <si>
    <t>漩涡之法</t>
  </si>
  <si>
    <t>流派名称</t>
  </si>
  <si>
    <t>流派经验</t>
  </si>
  <si>
    <t>流派等级</t>
  </si>
  <si>
    <t>流派效果</t>
  </si>
  <si>
    <t>当前塑型土（g）</t>
  </si>
  <si>
    <t>心神之法</t>
  </si>
  <si>
    <t>仪式之法专用材料背包</t>
  </si>
  <si>
    <t>数量</t>
  </si>
  <si>
    <t>塑型之法</t>
  </si>
  <si>
    <t>过劳过载</t>
  </si>
  <si>
    <t>免费过载</t>
  </si>
  <si>
    <t>所属社群信息</t>
  </si>
  <si>
    <t>职业</t>
  </si>
  <si>
    <t>所属社群</t>
  </si>
  <si>
    <t>飞津海卫</t>
  </si>
  <si>
    <t>社群等级</t>
  </si>
  <si>
    <t>月零用</t>
  </si>
  <si>
    <t>40贯</t>
  </si>
  <si>
    <t>职业名称</t>
  </si>
  <si>
    <t>职业等级</t>
  </si>
  <si>
    <t>消费水平</t>
  </si>
  <si>
    <t>500文</t>
  </si>
  <si>
    <t>长柄刀、长枪、水性、防御、抵抗、缴械</t>
  </si>
  <si>
    <t>水下所有检定有-10的奖励</t>
  </si>
  <si>
    <t>总部地址</t>
  </si>
  <si>
    <t>天狗国-飞津-大河原城</t>
  </si>
  <si>
    <t>武者</t>
  </si>
  <si>
    <t>长柄刀、搬运、缴械</t>
  </si>
  <si>
    <t>每回合多2次进入子弹时间的机会；每回合获得额外2点只可用于敌意行动的行动点。</t>
  </si>
  <si>
    <t>卫士</t>
  </si>
  <si>
    <t>抵抗、水性、防御</t>
  </si>
  <si>
    <t>每回合获得一次群体嘲讽的机会；每回合的第一次防守检定不算衰减。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</si>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</sst>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_ "/>
  </numFmts>
  <fonts count="63">
    <font>
      <sz val="11"/>
      <color theme="1"/>
      <name val="等线"/>
      <charset val="134"/>
      <scheme val="minor"/>
    </font>
    <font>
      <sz val="24"/>
      <color theme="1"/>
      <name val="方正准圆_GBK"/>
      <charset val="134"/>
    </font>
    <font>
      <sz val="11"/>
      <color theme="1"/>
      <name val="方正准圆_GBK"/>
      <charset val="134"/>
    </font>
    <font>
      <b/>
      <sz val="12"/>
      <color theme="0"/>
      <name val="方正准圆_GBK"/>
      <charset val="134"/>
    </font>
    <font>
      <b/>
      <sz val="12"/>
      <color theme="1"/>
      <name val="方正准圆_GBK"/>
      <charset val="134"/>
    </font>
    <font>
      <b/>
      <sz val="12"/>
      <color theme="1"/>
      <name val="微软雅黑"/>
      <charset val="134"/>
    </font>
    <font>
      <b/>
      <sz val="15"/>
      <color theme="3"/>
      <name val="方正准圆_GBK"/>
      <charset val="134"/>
    </font>
    <font>
      <b/>
      <sz val="11"/>
      <color theme="3"/>
      <name val="方正准圆_GBK"/>
      <charset val="134"/>
    </font>
    <font>
      <b/>
      <sz val="12"/>
      <color theme="1"/>
      <name val="等线"/>
      <charset val="134"/>
      <scheme val="minor"/>
    </font>
    <font>
      <sz val="18"/>
      <color theme="1"/>
      <name val="方正准圆_GBK"/>
      <charset val="134"/>
    </font>
    <font>
      <sz val="11"/>
      <color theme="1"/>
      <name val="宋体"/>
      <charset val="134"/>
    </font>
    <font>
      <b/>
      <sz val="14"/>
      <color theme="4" tint="-0.499984740745262"/>
      <name val="方正准圆_GBK"/>
      <charset val="134"/>
    </font>
    <font>
      <b/>
      <sz val="10"/>
      <color theme="1"/>
      <name val="等线"/>
      <charset val="134"/>
      <scheme val="minor"/>
    </font>
    <font>
      <sz val="9"/>
      <color theme="1"/>
      <name val="等线"/>
      <charset val="134"/>
      <scheme val="minor"/>
    </font>
    <font>
      <sz val="12"/>
      <color theme="1"/>
      <name val="方正准圆_GBK"/>
      <charset val="134"/>
    </font>
    <font>
      <sz val="22"/>
      <color theme="1"/>
      <name val="方正准圆_GBK"/>
      <charset val="134"/>
    </font>
    <font>
      <sz val="15"/>
      <color theme="1"/>
      <name val="方正准圆_GBK"/>
      <charset val="134"/>
    </font>
    <font>
      <sz val="28"/>
      <color theme="1"/>
      <name val="方正准圆_GBK"/>
      <charset val="134"/>
    </font>
    <font>
      <b/>
      <sz val="28"/>
      <color theme="1"/>
      <name val="方正准圆_GBK"/>
      <charset val="134"/>
    </font>
    <font>
      <b/>
      <sz val="11"/>
      <color theme="1"/>
      <name val="等线"/>
      <charset val="134"/>
      <scheme val="minor"/>
    </font>
    <font>
      <sz val="20"/>
      <color theme="1"/>
      <name val="方正准圆_GBK"/>
      <charset val="134"/>
    </font>
    <font>
      <b/>
      <sz val="20"/>
      <color theme="3"/>
      <name val="方正准圆_GBK"/>
      <charset val="134"/>
    </font>
    <font>
      <b/>
      <sz val="20"/>
      <color theme="1"/>
      <name val="方正准圆_GBK"/>
      <charset val="134"/>
    </font>
    <font>
      <b/>
      <sz val="15"/>
      <color theme="3"/>
      <name val="等线"/>
      <charset val="134"/>
      <scheme val="minor"/>
    </font>
    <font>
      <sz val="16"/>
      <color rgb="FFFF0000"/>
      <name val="方正准圆_GBK"/>
      <charset val="134"/>
    </font>
    <font>
      <sz val="16"/>
      <color rgb="FF92D050"/>
      <name val="方正准圆_GBK"/>
      <charset val="134"/>
    </font>
    <font>
      <sz val="16"/>
      <color rgb="FFFFC000"/>
      <name val="方正准圆_GBK"/>
      <charset val="134"/>
    </font>
    <font>
      <sz val="16"/>
      <color rgb="FF0070C0"/>
      <name val="方正准圆_GBK"/>
      <charset val="134"/>
    </font>
    <font>
      <b/>
      <sz val="12"/>
      <color theme="3"/>
      <name val="方正准圆_GBK"/>
      <charset val="134"/>
    </font>
    <font>
      <sz val="16"/>
      <color rgb="FFFF66FF"/>
      <name val="方正准圆_GBK"/>
      <charset val="134"/>
    </font>
    <font>
      <sz val="16"/>
      <color rgb="FF7030A0"/>
      <name val="方正准圆_GBK"/>
      <charset val="134"/>
    </font>
    <font>
      <sz val="11"/>
      <color theme="1"/>
      <name val="经典粗圆简"/>
      <charset val="134"/>
    </font>
    <font>
      <b/>
      <sz val="15"/>
      <name val="等线"/>
      <charset val="134"/>
      <scheme val="minor"/>
    </font>
    <font>
      <b/>
      <sz val="12"/>
      <name val="等线"/>
      <charset val="134"/>
      <scheme val="minor"/>
    </font>
    <font>
      <b/>
      <sz val="14"/>
      <name val="等线"/>
      <charset val="134"/>
      <scheme val="minor"/>
    </font>
    <font>
      <sz val="14"/>
      <color theme="1"/>
      <name val="方正准圆_GBK"/>
      <charset val="134"/>
    </font>
    <font>
      <sz val="11"/>
      <name val="等线"/>
      <charset val="134"/>
      <scheme val="minor"/>
    </font>
    <font>
      <b/>
      <sz val="14"/>
      <color theme="3"/>
      <name val="方正准圆_GBK"/>
      <charset val="134"/>
    </font>
    <font>
      <b/>
      <sz val="11"/>
      <name val="等线"/>
      <charset val="134"/>
      <scheme val="minor"/>
    </font>
    <font>
      <b/>
      <sz val="10"/>
      <color theme="3"/>
      <name val="方正准圆_GBK"/>
      <charset val="134"/>
    </font>
    <font>
      <sz val="24"/>
      <color theme="1"/>
      <name val="经典粗圆简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indexed="20"/>
      <name val="等线"/>
      <charset val="134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indexed="17"/>
      <name val="等线"/>
      <charset val="134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</fonts>
  <fills count="39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</fills>
  <borders count="60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"/>
      </left>
      <right/>
      <top style="thick">
        <color rgb="FF0070C0"/>
      </top>
      <bottom style="thick">
        <color theme="4" tint="-0.249946592608417"/>
      </bottom>
      <diagonal/>
    </border>
    <border>
      <left style="thick">
        <color theme="4" tint="-0.249946592608417"/>
      </left>
      <right/>
      <top style="thick">
        <color theme="4" tint="-0.249946592608417"/>
      </top>
      <bottom style="thick">
        <color theme="4" tint="-0.249946592608417"/>
      </bottom>
      <diagonal/>
    </border>
    <border>
      <left style="thick">
        <color theme="4" tint="-0.249946592608417"/>
      </left>
      <right style="thick">
        <color theme="4" tint="-0.249946592608417"/>
      </right>
      <top style="thick">
        <color theme="4" tint="-0.249946592608417"/>
      </top>
      <bottom/>
      <diagonal/>
    </border>
    <border>
      <left style="thick">
        <color theme="4" tint="-0.249946592608417"/>
      </left>
      <right style="thick">
        <color theme="4" tint="-0.249946592608417"/>
      </right>
      <top/>
      <bottom/>
      <diagonal/>
    </border>
    <border>
      <left style="thick">
        <color theme="4" tint="-0.249946592608417"/>
      </left>
      <right style="thick">
        <color theme="4" tint="-0.249946592608417"/>
      </right>
      <top/>
      <bottom style="thick">
        <color theme="4" tint="-0.249946592608417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"/>
      </bottom>
      <diagonal/>
    </border>
    <border>
      <left/>
      <right/>
      <top style="thick">
        <color rgb="FF0070C0"/>
      </top>
      <bottom style="thick">
        <color theme="4" tint="-0.249946592608417"/>
      </bottom>
      <diagonal/>
    </border>
    <border>
      <left/>
      <right/>
      <top style="thick">
        <color theme="4" tint="-0.249946592608417"/>
      </top>
      <bottom style="thick">
        <color theme="4" tint="-0.249946592608417"/>
      </bottom>
      <diagonal/>
    </border>
    <border>
      <left/>
      <right style="thick">
        <color rgb="FF0070C0"/>
      </right>
      <top style="thick">
        <color theme="4" tint="-0.249946592608417"/>
      </top>
      <bottom style="thick">
        <color theme="4" tint="-0.249946592608417"/>
      </bottom>
      <diagonal/>
    </border>
    <border>
      <left style="thick">
        <color rgb="FF0070C0"/>
      </left>
      <right/>
      <top style="thick">
        <color theme="4" tint="-0.249946592608417"/>
      </top>
      <bottom style="thick">
        <color theme="4" tint="-0.249946592608417"/>
      </bottom>
      <diagonal/>
    </border>
    <border>
      <left/>
      <right style="thick">
        <color theme="4" tint="-0.249946592608417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"/>
      </right>
      <top style="thick">
        <color rgb="FF0070C0"/>
      </top>
      <bottom style="thick">
        <color theme="4" tint="-0.249946592608417"/>
      </bottom>
      <diagonal/>
    </border>
    <border>
      <left/>
      <right style="thick">
        <color theme="4" tint="-0.249946592608417"/>
      </right>
      <top style="thick">
        <color theme="4" tint="-0.249946592608417"/>
      </top>
      <bottom style="thick">
        <color theme="4" tint="-0.249946592608417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55">
    <xf numFmtId="0" fontId="0" fillId="0" borderId="0"/>
    <xf numFmtId="42" fontId="0" fillId="0" borderId="0" applyFont="0" applyFill="0" applyBorder="0" applyAlignment="0" applyProtection="0">
      <alignment vertical="center"/>
    </xf>
    <xf numFmtId="0" fontId="42" fillId="28" borderId="0" applyNumberFormat="0" applyBorder="0" applyAlignment="0" applyProtection="0">
      <alignment vertical="center"/>
    </xf>
    <xf numFmtId="0" fontId="58" fillId="29" borderId="5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2" fillId="18" borderId="0" applyNumberFormat="0" applyBorder="0" applyAlignment="0" applyProtection="0">
      <alignment vertical="center"/>
    </xf>
    <xf numFmtId="0" fontId="48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1" fillId="3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0" fillId="22" borderId="56" applyNumberFormat="0" applyFont="0" applyAlignment="0" applyProtection="0">
      <alignment vertical="center"/>
    </xf>
    <xf numFmtId="0" fontId="41" fillId="25" borderId="0" applyNumberFormat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23" fillId="0" borderId="16" applyNumberFormat="0" applyFill="0" applyAlignment="0" applyProtection="0">
      <alignment vertical="center"/>
    </xf>
    <xf numFmtId="0" fontId="51" fillId="21" borderId="0" applyNumberFormat="0" applyBorder="0" applyAlignment="0" applyProtection="0">
      <alignment vertical="center"/>
    </xf>
    <xf numFmtId="0" fontId="45" fillId="0" borderId="53" applyNumberFormat="0" applyFill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55" fillId="0" borderId="59" applyNumberFormat="0" applyFill="0" applyAlignment="0" applyProtection="0">
      <alignment vertical="center"/>
    </xf>
    <xf numFmtId="0" fontId="44" fillId="10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50" fillId="13" borderId="55" applyNumberFormat="0" applyAlignment="0" applyProtection="0">
      <alignment vertical="center"/>
    </xf>
    <xf numFmtId="0" fontId="54" fillId="24" borderId="0" applyNumberFormat="0" applyBorder="0" applyAlignment="0" applyProtection="0">
      <alignment vertical="center"/>
    </xf>
    <xf numFmtId="0" fontId="47" fillId="13" borderId="54" applyNumberFormat="0" applyAlignment="0" applyProtection="0">
      <alignment vertical="center"/>
    </xf>
    <xf numFmtId="0" fontId="43" fillId="9" borderId="52" applyNumberFormat="0" applyAlignment="0" applyProtection="0">
      <alignment vertical="center"/>
    </xf>
    <xf numFmtId="0" fontId="42" fillId="12" borderId="0" applyNumberFormat="0" applyBorder="0" applyAlignment="0" applyProtection="0">
      <alignment vertical="center"/>
    </xf>
    <xf numFmtId="0" fontId="41" fillId="34" borderId="0" applyNumberFormat="0" applyBorder="0" applyAlignment="0" applyProtection="0">
      <alignment vertical="center"/>
    </xf>
    <xf numFmtId="0" fontId="53" fillId="0" borderId="58" applyNumberFormat="0" applyFill="0" applyAlignment="0" applyProtection="0">
      <alignment vertical="center"/>
    </xf>
    <xf numFmtId="0" fontId="52" fillId="0" borderId="57" applyNumberFormat="0" applyFill="0" applyAlignment="0" applyProtection="0">
      <alignment vertical="center"/>
    </xf>
    <xf numFmtId="0" fontId="60" fillId="24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2" fillId="16" borderId="0" applyNumberFormat="0" applyBorder="0" applyAlignment="0" applyProtection="0">
      <alignment vertical="center"/>
    </xf>
    <xf numFmtId="0" fontId="41" fillId="8" borderId="0" applyNumberFormat="0" applyBorder="0" applyAlignment="0" applyProtection="0">
      <alignment vertical="center"/>
    </xf>
    <xf numFmtId="0" fontId="42" fillId="33" borderId="0" applyNumberFormat="0" applyBorder="0" applyAlignment="0" applyProtection="0">
      <alignment vertical="center"/>
    </xf>
    <xf numFmtId="0" fontId="42" fillId="36" borderId="0" applyNumberFormat="0" applyBorder="0" applyAlignment="0" applyProtection="0">
      <alignment vertical="center"/>
    </xf>
    <xf numFmtId="0" fontId="42" fillId="20" borderId="0" applyNumberFormat="0" applyBorder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2" fillId="11" borderId="0" applyNumberFormat="0" applyBorder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0" fillId="0" borderId="0"/>
    <xf numFmtId="0" fontId="0" fillId="0" borderId="0"/>
  </cellStyleXfs>
  <cellXfs count="278">
    <xf numFmtId="0" fontId="0" fillId="0" borderId="0" xfId="0"/>
    <xf numFmtId="0" fontId="0" fillId="0" borderId="0" xfId="0" applyFont="1" applyFill="1" applyAlignment="1"/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177" fontId="0" fillId="0" borderId="5" xfId="0" applyNumberFormat="1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3" fillId="2" borderId="10" xfId="53" applyFont="1" applyFill="1" applyBorder="1" applyAlignment="1">
      <alignment horizontal="left" vertical="center"/>
    </xf>
    <xf numFmtId="0" fontId="0" fillId="0" borderId="10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 vertical="center" wrapText="1"/>
    </xf>
    <xf numFmtId="0" fontId="0" fillId="0" borderId="10" xfId="0" applyFont="1" applyFill="1" applyBorder="1" applyAlignment="1">
      <alignment horizontal="center" vertical="center" wrapText="1"/>
    </xf>
    <xf numFmtId="0" fontId="3" fillId="3" borderId="10" xfId="53" applyFont="1" applyFill="1" applyBorder="1" applyAlignment="1">
      <alignment horizontal="left" vertical="center"/>
    </xf>
    <xf numFmtId="0" fontId="5" fillId="3" borderId="10" xfId="53" applyFont="1" applyFill="1" applyBorder="1" applyAlignment="1">
      <alignment horizontal="left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9" fontId="0" fillId="0" borderId="5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 wrapText="1"/>
    </xf>
    <xf numFmtId="0" fontId="3" fillId="4" borderId="10" xfId="53" applyFont="1" applyFill="1" applyBorder="1" applyAlignment="1">
      <alignment horizontal="left" vertical="center"/>
    </xf>
    <xf numFmtId="0" fontId="5" fillId="4" borderId="10" xfId="53" applyFont="1" applyFill="1" applyBorder="1" applyAlignment="1">
      <alignment horizontal="left" vertical="center"/>
    </xf>
    <xf numFmtId="0" fontId="0" fillId="0" borderId="1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vertical="center"/>
    </xf>
    <xf numFmtId="0" fontId="6" fillId="0" borderId="16" xfId="19" applyFont="1" applyAlignment="1">
      <alignment horizontal="center"/>
    </xf>
    <xf numFmtId="0" fontId="6" fillId="0" borderId="0" xfId="19" applyFont="1" applyBorder="1" applyAlignment="1">
      <alignment horizontal="center" vertical="center"/>
    </xf>
    <xf numFmtId="0" fontId="7" fillId="0" borderId="16" xfId="19" applyFont="1" applyAlignment="1">
      <alignment horizontal="center" vertical="center"/>
    </xf>
    <xf numFmtId="0" fontId="8" fillId="0" borderId="16" xfId="19" applyFont="1" applyAlignment="1">
      <alignment horizontal="center" vertical="center"/>
    </xf>
    <xf numFmtId="0" fontId="6" fillId="0" borderId="17" xfId="19" applyFont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 wrapText="1"/>
    </xf>
    <xf numFmtId="0" fontId="6" fillId="0" borderId="16" xfId="19" applyFont="1" applyAlignment="1">
      <alignment horizontal="center" vertical="center"/>
    </xf>
    <xf numFmtId="0" fontId="0" fillId="0" borderId="17" xfId="0" applyFont="1" applyFill="1" applyBorder="1" applyAlignment="1">
      <alignment horizontal="center" vertical="center" wrapText="1"/>
    </xf>
    <xf numFmtId="0" fontId="7" fillId="0" borderId="20" xfId="19" applyFont="1" applyBorder="1" applyAlignment="1">
      <alignment horizontal="center" vertical="center"/>
    </xf>
    <xf numFmtId="0" fontId="8" fillId="0" borderId="20" xfId="19" applyFont="1" applyBorder="1" applyAlignment="1">
      <alignment horizontal="center" vertical="center"/>
    </xf>
    <xf numFmtId="0" fontId="6" fillId="0" borderId="0" xfId="19" applyFont="1" applyBorder="1" applyAlignment="1">
      <alignment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77" fontId="0" fillId="0" borderId="1" xfId="0" applyNumberFormat="1" applyFont="1" applyBorder="1" applyAlignment="1">
      <alignment horizontal="center" vertical="center"/>
    </xf>
    <xf numFmtId="177" fontId="0" fillId="0" borderId="2" xfId="0" applyNumberFormat="1" applyFont="1" applyBorder="1" applyAlignment="1">
      <alignment horizontal="center" vertical="center"/>
    </xf>
    <xf numFmtId="177" fontId="0" fillId="0" borderId="11" xfId="0" applyNumberFormat="1" applyFont="1" applyBorder="1" applyAlignment="1">
      <alignment horizontal="center" vertical="center"/>
    </xf>
    <xf numFmtId="177" fontId="0" fillId="0" borderId="3" xfId="0" applyNumberFormat="1" applyFont="1" applyBorder="1" applyAlignment="1">
      <alignment horizontal="center" vertical="center"/>
    </xf>
    <xf numFmtId="177" fontId="0" fillId="0" borderId="4" xfId="0" applyNumberFormat="1" applyFont="1" applyBorder="1" applyAlignment="1">
      <alignment horizontal="center" vertical="center"/>
    </xf>
    <xf numFmtId="177" fontId="0" fillId="0" borderId="12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 wrapText="1"/>
    </xf>
    <xf numFmtId="0" fontId="0" fillId="5" borderId="2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5" borderId="3" xfId="0" applyFont="1" applyFill="1" applyBorder="1" applyAlignment="1">
      <alignment horizontal="center" vertical="center" wrapText="1"/>
    </xf>
    <xf numFmtId="0" fontId="0" fillId="5" borderId="4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0" fontId="0" fillId="5" borderId="8" xfId="0" applyFont="1" applyFill="1" applyBorder="1" applyAlignment="1">
      <alignment horizontal="center" vertical="center" wrapText="1"/>
    </xf>
    <xf numFmtId="0" fontId="0" fillId="5" borderId="0" xfId="0" applyFont="1" applyFill="1" applyBorder="1" applyAlignment="1">
      <alignment horizontal="center" vertical="center" wrapText="1"/>
    </xf>
    <xf numFmtId="0" fontId="0" fillId="5" borderId="15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0" fillId="0" borderId="0" xfId="0" applyFont="1"/>
    <xf numFmtId="0" fontId="12" fillId="0" borderId="13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18" fillId="0" borderId="0" xfId="0" applyFont="1" applyAlignment="1">
      <alignment horizontal="center" vertical="center"/>
    </xf>
    <xf numFmtId="0" fontId="19" fillId="0" borderId="0" xfId="0" applyFont="1"/>
    <xf numFmtId="0" fontId="0" fillId="0" borderId="0" xfId="0" applyAlignment="1">
      <alignment vertical="top" wrapText="1"/>
    </xf>
    <xf numFmtId="0" fontId="20" fillId="0" borderId="0" xfId="0" applyFont="1" applyAlignment="1">
      <alignment horizontal="center" vertical="center"/>
    </xf>
    <xf numFmtId="0" fontId="21" fillId="0" borderId="0" xfId="53" applyFont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  <xf numFmtId="0" fontId="0" fillId="0" borderId="19" xfId="0" applyFont="1" applyBorder="1" applyAlignment="1">
      <alignment horizontal="center" vertical="center" wrapText="1"/>
    </xf>
    <xf numFmtId="0" fontId="0" fillId="0" borderId="17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23" fillId="0" borderId="0" xfId="19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7" fillId="0" borderId="28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8" fillId="0" borderId="20" xfId="19" applyFont="1" applyBorder="1" applyAlignment="1">
      <alignment horizontal="center" vertical="center"/>
    </xf>
    <xf numFmtId="0" fontId="8" fillId="0" borderId="20" xfId="19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8" fillId="0" borderId="0" xfId="19" applyFont="1" applyBorder="1" applyAlignment="1">
      <alignment horizontal="center" vertical="center"/>
    </xf>
    <xf numFmtId="0" fontId="8" fillId="0" borderId="0" xfId="19" applyFont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8" fillId="0" borderId="16" xfId="19" applyFont="1" applyAlignment="1">
      <alignment horizontal="center" vertical="center"/>
    </xf>
    <xf numFmtId="0" fontId="8" fillId="0" borderId="16" xfId="19" applyFont="1" applyAlignment="1">
      <alignment horizontal="center" vertical="center" wrapText="1"/>
    </xf>
    <xf numFmtId="0" fontId="30" fillId="0" borderId="32" xfId="0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6" fillId="0" borderId="33" xfId="19" applyFont="1" applyBorder="1" applyAlignment="1">
      <alignment horizontal="center" vertical="center"/>
    </xf>
    <xf numFmtId="0" fontId="8" fillId="0" borderId="33" xfId="19" applyFont="1" applyBorder="1" applyAlignment="1">
      <alignment horizontal="center" vertical="center"/>
    </xf>
    <xf numFmtId="0" fontId="31" fillId="0" borderId="33" xfId="0" applyFont="1" applyBorder="1" applyAlignment="1">
      <alignment horizontal="center" vertical="center" wrapText="1"/>
    </xf>
    <xf numFmtId="0" fontId="32" fillId="0" borderId="33" xfId="19" applyFont="1" applyBorder="1" applyAlignment="1">
      <alignment horizontal="center" vertical="center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28" fillId="0" borderId="20" xfId="19" applyFont="1" applyBorder="1" applyAlignment="1" applyProtection="1">
      <alignment horizontal="center" vertical="center"/>
      <protection locked="0"/>
    </xf>
    <xf numFmtId="0" fontId="33" fillId="0" borderId="20" xfId="19" applyFont="1" applyBorder="1" applyAlignment="1">
      <alignment horizontal="center" vertical="center" wrapText="1"/>
    </xf>
    <xf numFmtId="0" fontId="28" fillId="0" borderId="0" xfId="19" applyFont="1" applyBorder="1" applyAlignment="1" applyProtection="1">
      <alignment horizontal="center" vertical="center"/>
      <protection locked="0"/>
    </xf>
    <xf numFmtId="0" fontId="33" fillId="0" borderId="0" xfId="19" applyFont="1" applyBorder="1" applyAlignment="1">
      <alignment horizontal="center" vertical="center" wrapText="1"/>
    </xf>
    <xf numFmtId="0" fontId="28" fillId="0" borderId="16" xfId="19" applyFont="1" applyAlignment="1" applyProtection="1">
      <alignment horizontal="center" vertical="center"/>
      <protection locked="0"/>
    </xf>
    <xf numFmtId="0" fontId="33" fillId="0" borderId="16" xfId="19" applyFont="1" applyAlignment="1">
      <alignment horizontal="center" vertical="center" wrapText="1"/>
    </xf>
    <xf numFmtId="0" fontId="34" fillId="0" borderId="20" xfId="19" applyFont="1" applyBorder="1" applyAlignment="1">
      <alignment horizontal="center" vertical="center" wrapText="1"/>
    </xf>
    <xf numFmtId="0" fontId="34" fillId="0" borderId="0" xfId="19" applyFont="1" applyBorder="1" applyAlignment="1">
      <alignment horizontal="center" vertical="center" wrapText="1"/>
    </xf>
    <xf numFmtId="0" fontId="34" fillId="0" borderId="16" xfId="19" applyFont="1" applyAlignment="1">
      <alignment horizontal="center" vertical="center" wrapText="1"/>
    </xf>
    <xf numFmtId="0" fontId="35" fillId="0" borderId="2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35" fillId="0" borderId="23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35" fillId="0" borderId="24" xfId="0" applyFont="1" applyBorder="1" applyAlignment="1">
      <alignment horizontal="center" vertical="center"/>
    </xf>
    <xf numFmtId="0" fontId="35" fillId="0" borderId="25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29" xfId="0" applyFont="1" applyBorder="1" applyAlignment="1">
      <alignment horizontal="center" vertical="center"/>
    </xf>
    <xf numFmtId="0" fontId="35" fillId="0" borderId="30" xfId="0" applyFont="1" applyBorder="1" applyAlignment="1">
      <alignment horizontal="center" vertical="center"/>
    </xf>
    <xf numFmtId="0" fontId="35" fillId="0" borderId="31" xfId="0" applyFont="1" applyBorder="1" applyAlignment="1">
      <alignment horizontal="center" vertical="center"/>
    </xf>
    <xf numFmtId="0" fontId="23" fillId="0" borderId="34" xfId="19" applyBorder="1" applyAlignment="1">
      <alignment horizontal="center"/>
    </xf>
    <xf numFmtId="0" fontId="35" fillId="0" borderId="32" xfId="0" applyFont="1" applyBorder="1" applyAlignment="1">
      <alignment horizontal="center" vertical="center"/>
    </xf>
    <xf numFmtId="0" fontId="6" fillId="0" borderId="10" xfId="19" applyFont="1" applyBorder="1" applyAlignment="1">
      <alignment horizontal="center" vertical="center"/>
    </xf>
    <xf numFmtId="0" fontId="36" fillId="0" borderId="10" xfId="19" applyFont="1" applyBorder="1" applyAlignment="1">
      <alignment horizontal="center" vertical="center" wrapText="1"/>
    </xf>
    <xf numFmtId="0" fontId="36" fillId="0" borderId="10" xfId="19" applyFont="1" applyBorder="1" applyAlignment="1">
      <alignment horizontal="center" vertical="center"/>
    </xf>
    <xf numFmtId="0" fontId="37" fillId="0" borderId="10" xfId="19" applyFont="1" applyBorder="1" applyAlignment="1">
      <alignment horizontal="center" vertical="center"/>
    </xf>
    <xf numFmtId="0" fontId="38" fillId="0" borderId="10" xfId="19" applyFont="1" applyBorder="1" applyAlignment="1">
      <alignment horizontal="center" vertical="center"/>
    </xf>
    <xf numFmtId="0" fontId="39" fillId="0" borderId="10" xfId="19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176" fontId="0" fillId="0" borderId="35" xfId="0" applyNumberForma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176" fontId="0" fillId="0" borderId="36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0" fontId="40" fillId="0" borderId="38" xfId="0" applyFont="1" applyBorder="1" applyAlignment="1">
      <alignment horizontal="center" vertical="center" wrapText="1"/>
    </xf>
    <xf numFmtId="0" fontId="36" fillId="0" borderId="0" xfId="19" applyFont="1" applyBorder="1" applyAlignment="1">
      <alignment horizontal="center" vertical="center" wrapText="1"/>
    </xf>
    <xf numFmtId="0" fontId="40" fillId="0" borderId="39" xfId="0" applyFont="1" applyBorder="1" applyAlignment="1">
      <alignment horizontal="center" vertical="center" wrapText="1"/>
    </xf>
    <xf numFmtId="0" fontId="36" fillId="0" borderId="0" xfId="19" applyFont="1" applyBorder="1" applyAlignment="1">
      <alignment horizontal="center" vertical="center"/>
    </xf>
    <xf numFmtId="0" fontId="38" fillId="0" borderId="0" xfId="19" applyFont="1" applyBorder="1" applyAlignment="1">
      <alignment horizontal="center" vertical="center"/>
    </xf>
    <xf numFmtId="0" fontId="40" fillId="0" borderId="40" xfId="0" applyFont="1" applyBorder="1" applyAlignment="1">
      <alignment horizontal="center" vertical="center" wrapText="1"/>
    </xf>
    <xf numFmtId="176" fontId="0" fillId="0" borderId="41" xfId="0" applyNumberFormat="1" applyBorder="1" applyAlignment="1">
      <alignment horizontal="center"/>
    </xf>
    <xf numFmtId="176" fontId="0" fillId="0" borderId="42" xfId="0" applyNumberFormat="1" applyBorder="1" applyAlignment="1">
      <alignment horizontal="center"/>
    </xf>
    <xf numFmtId="176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176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</cellXfs>
  <cellStyles count="55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差_技能大表" xfId="20"/>
    <cellStyle name="标题 2" xfId="21" builtinId="17"/>
    <cellStyle name="60% - 强调文字颜色 1" xfId="22" builtinId="32"/>
    <cellStyle name="标题 3" xfId="23" builtinId="18"/>
    <cellStyle name="差_技能大表_1" xfId="24"/>
    <cellStyle name="60% - 强调文字颜色 4" xfId="25" builtinId="44"/>
    <cellStyle name="输出" xfId="26" builtinId="21"/>
    <cellStyle name="好_技能大表_1" xfId="27"/>
    <cellStyle name="计算" xfId="28" builtinId="22"/>
    <cellStyle name="检查单元格" xfId="29" builtinId="23"/>
    <cellStyle name="20% - 强调文字颜色 6" xfId="30" builtinId="50"/>
    <cellStyle name="强调文字颜色 2" xfId="31" builtinId="33"/>
    <cellStyle name="链接单元格" xfId="32" builtinId="24"/>
    <cellStyle name="汇总" xfId="33" builtinId="25"/>
    <cellStyle name="好" xfId="34" builtinId="26"/>
    <cellStyle name="适中" xfId="35" builtinId="28"/>
    <cellStyle name="20% - 强调文字颜色 5" xfId="36" builtinId="46"/>
    <cellStyle name="强调文字颜色 1" xfId="37" builtinId="29"/>
    <cellStyle name="20% - 强调文字颜色 1" xfId="38" builtinId="30"/>
    <cellStyle name="40% - 强调文字颜色 1" xfId="39" builtinId="31"/>
    <cellStyle name="20% - 强调文字颜色 2" xfId="40" builtinId="34"/>
    <cellStyle name="40% - 强调文字颜色 2" xfId="41" builtinId="35"/>
    <cellStyle name="强调文字颜色 3" xfId="42" builtinId="37"/>
    <cellStyle name="强调文字颜色 4" xfId="43" builtinId="41"/>
    <cellStyle name="20% - 强调文字颜色 4" xfId="44" builtinId="42"/>
    <cellStyle name="40% - 强调文字颜色 4" xfId="45" builtinId="43"/>
    <cellStyle name="强调文字颜色 5" xfId="46" builtinId="45"/>
    <cellStyle name="好_技能大表" xfId="47"/>
    <cellStyle name="40% - 强调文字颜色 5" xfId="48" builtinId="47"/>
    <cellStyle name="60% - 强调文字颜色 5" xfId="49" builtinId="48"/>
    <cellStyle name="强调文字颜色 6" xfId="50" builtinId="49"/>
    <cellStyle name="40% - 强调文字颜色 6" xfId="51" builtinId="51"/>
    <cellStyle name="60% - 强调文字颜色 6" xfId="52" builtinId="52"/>
    <cellStyle name="常规 2" xfId="53"/>
    <cellStyle name="常规 3" xfId="54"/>
  </cellStyles>
  <dxfs count="1">
    <dxf>
      <fill>
        <patternFill patternType="solid">
          <bgColor theme="9" tint="0.6"/>
        </patternFill>
      </fill>
    </dxf>
  </dxfs>
  <tableStyles count="0" defaultTableStyle="TableStyleMedium2" defaultPivotStyle="PivotStyleLight16"/>
  <colors>
    <mruColors>
      <color rgb="00FF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styles" Target="styles.xml"/><Relationship Id="rId14" Type="http://schemas.openxmlformats.org/officeDocument/2006/relationships/theme" Target="theme/theme1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  <a:endParaRPr lang="zh-CN" b="1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0.0308641975308642"/>
          <c:y val="0.025445292620865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</c:dPt>
          <c:dLbls>
            <c:dLbl>
              <c:idx val="0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  <a:endParaRPr lang="zh-CN" altLang="en-US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0.0232896652110626"/>
          <c:y val="0.013966480446927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b5d48df9-d475-4aea-8128-bf531b502ca0}" type="CELLRANGE">
                      <a:t>[CELLRANGE]</a:t>
                    </a:fld>
                    <a:r>
                      <a:t> </a:t>
                    </a:r>
                    <a:fld id="{ba595c30-c146-477b-960b-5d4d7d468a78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2542e5d9-9e9f-4acb-9cc6-f38ecf3ae431}" type="CELLRANGE">
                      <a:t>[CELLRANGE]</a:t>
                    </a:fld>
                    <a:r>
                      <a:t> </a:t>
                    </a:r>
                    <a:fld id="{6c542a87-6185-4dc0-9758-1ae36347d28c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f425c7a6-c83a-428b-930e-9f3609c2024b}" type="CELLRANGE">
                      <a:t>[CELLRANGE]</a:t>
                    </a:fld>
                    <a:r>
                      <a:t> </a:t>
                    </a:r>
                    <a:fld id="{ac5653dd-55f4-43b0-9866-7eb79cb3eaee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731ac8fe-b396-448a-b76a-4130cd2c4bf1}" type="CELLRANGE">
                      <a:t>[CELLRANGE]</a:t>
                    </a:fld>
                    <a:r>
                      <a:t> </a:t>
                    </a:r>
                    <a:fld id="{388f757f-fa3a-466a-9215-a95af2338ae3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4df7cabb-a57e-4ab6-8c8e-9950913b959c}" type="CELLRANGE">
                      <a:t>[CELLRANGE]</a:t>
                    </a:fld>
                    <a:r>
                      <a:t> </a:t>
                    </a:r>
                    <a:fld id="{dd7c30ac-09fa-4703-a194-a19bec6cd769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a6c5e2f6-9b99-46d8-934b-aaf16d593157}" type="CELLRANGE">
                      <a:t>[CELLRANGE]</a:t>
                    </a:fld>
                    <a:r>
                      <a:t> </a:t>
                    </a:r>
                    <a:fld id="{076a3e90-1194-46c4-9e98-d745ae30745d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fd595ca9-f38d-4f97-9cbe-1d9d1dd057c1}" type="CELLRANGE">
                      <a:t>[CELLRANGE]</a:t>
                    </a:fld>
                    <a:r>
                      <a:t> </a:t>
                    </a:r>
                    <a:fld id="{d07d385d-fa07-44dd-b71e-3cca523bede1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ef8de2b6-0035-4a29-a260-e298fd41d2e0}" type="CELLRANGE">
                      <a:t>[CELLRANGE]</a:t>
                    </a:fld>
                    <a:r>
                      <a:t> </a:t>
                    </a:r>
                    <a:fld id="{c4b218e4-737b-4321-bd29-d5725010561e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9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0354a832-20c3-4c1c-8616-6cf4b11717ac}" type="CELLRANGE">
                      <a:t>[CELLRANGE]</a:t>
                    </a:fld>
                    <a:r>
                      <a:t> </a:t>
                    </a:r>
                    <a:fld id="{646175b5-c69a-468c-853e-0f8359c420de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917d1db5-f984-48f6-89a1-d46d4d5f833f}" type="CELLRANGE">
                      <a:t>[CELLRANGE]</a:t>
                    </a:fld>
                    <a:r>
                      <a:t> </a:t>
                    </a:r>
                    <a:fld id="{43baaa89-f8f4-4563-9a4f-992977eaaf5f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2e180eab-3663-46f4-9c46-f18e49a1329a}" type="CELLRANGE">
                      <a:t>[CELLRANGE]</a:t>
                    </a:fld>
                    <a:r>
                      <a:t> </a:t>
                    </a:r>
                    <a:fld id="{dc819639-e4c2-49c8-9fd1-d91118120a66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d228a222-abd6-4561-b9c6-b841f3d3c31b}" type="CELLRANGE">
                      <a:t>[CELLRANGE]</a:t>
                    </a:fld>
                    <a:r>
                      <a:t> </a:t>
                    </a:r>
                    <a:fld id="{b1af535a-427b-4cac-b6bf-96e33331c7cd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4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5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9ce3047c-1475-4533-929c-43cfbea7a630}" type="CELLRANGE">
                      <a:t>[CELLRANGE]</a:t>
                    </a:fld>
                    <a:r>
                      <a:t> </a:t>
                    </a:r>
                    <a:fld id="{d5e5c713-20d3-4848-b384-463be058ffeb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6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40e1ce28-6621-4b08-8cca-f0714eb5421a}" type="CELLRANGE">
                      <a:t>[CELLRANGE]</a:t>
                    </a:fld>
                    <a:r>
                      <a:t> </a:t>
                    </a:r>
                    <a:fld id="{1cecb434-55bf-4571-afd9-148326c279de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7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94c06160-17b5-4d2c-b41f-e8012ca5df59}" type="CELLRANGE">
                      <a:t>[CELLRANGE]</a:t>
                    </a:fld>
                    <a:r>
                      <a:t> </a:t>
                    </a:r>
                    <a:fld id="{bf53812a-cc9b-4b8c-b3f4-58777704daef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8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94ec4628-a380-4ddb-a3ba-924cb91a49a3}" type="CELLRANGE">
                      <a:t>[CELLRANGE]</a:t>
                    </a:fld>
                    <a:r>
                      <a:t> </a:t>
                    </a:r>
                    <a:fld id="{0ca3e2b8-d4b2-4b63-b337-f5693df6a10d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9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52309912-e4b8-46ed-bcd7-cc1e3523cabb}" type="CELLRANGE">
                      <a:t>[CELLRANGE]</a:t>
                    </a:fld>
                    <a:r>
                      <a:t> </a:t>
                    </a:r>
                    <a:fld id="{f9baac9c-1a3d-4c17-90c1-01f3d2f8ad15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0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9c1309b8-abe5-4712-b250-9d6e338e18ac}" type="CELLRANGE">
                      <a:t>[CELLRANGE]</a:t>
                    </a:fld>
                    <a:r>
                      <a:t> </a:t>
                    </a:r>
                    <a:fld id="{b9ae3b85-18fc-46da-83f4-ee568112348e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1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2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5d55dd67-38f6-4bc3-95e3-0dc187b15b4e}" type="CELLRANGE">
                      <a:t>[CELLRANGE]</a:t>
                    </a:fld>
                    <a:r>
                      <a:t> </a:t>
                    </a:r>
                    <a:fld id="{6892419b-c42f-455c-92fc-9d591a994020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3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3f3c0b30-a11c-4c63-ae7f-c41f51e57409}" type="CELLRANGE">
                      <a:t>[CELLRANGE]</a:t>
                    </a:fld>
                    <a:r>
                      <a:t> </a:t>
                    </a:r>
                    <a:fld id="{565ac10f-95fe-4413-8602-a56ea863b79f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4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fbf0c773-8c13-4d7b-9588-c43d7a7244a9}" type="CELLRANGE">
                      <a:t>[CELLRANGE]</a:t>
                    </a:fld>
                    <a:r>
                      <a:t> </a:t>
                    </a:r>
                    <a:fld id="{4c5e4525-d2f2-40ad-9b53-f9134a5efe95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5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6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ba3565e1-bccd-4715-aca8-c6ed6da3950a}" type="CELLRANGE">
                      <a:t>[CELLRANGE]</a:t>
                    </a:fld>
                    <a:r>
                      <a:t> </a:t>
                    </a:r>
                    <a:fld id="{49dfa43d-f444-48f1-9dfc-e0b24dba73af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7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78e9c7c5-2e24-45bb-8cbe-84e7b1b990cb}" type="CELLRANGE">
                      <a:t>[CELLRANGE]</a:t>
                    </a:fld>
                    <a:r>
                      <a:t> </a:t>
                    </a:r>
                    <a:fld id="{c83d54b3-1288-4271-b152-7d0c16ec32a0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  <a:endParaRPr lang="zh-CN" altLang="en-US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0.0269286754002911"/>
          <c:y val="0.013966480446927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f9b36ea5-4182-48ad-9278-e0820f3c892b}" type="CELLRANGE">
                      <a:t>[CELLRANGE]</a:t>
                    </a:fld>
                    <a:r>
                      <a:t>,</a:t>
                    </a:r>
                    <a:fld id="{2e7b6785-7949-460c-ad12-368e12057711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e0c24d38-290e-4497-80e8-1e5fdbf1d6ae}" type="CELLRANGE">
                      <a:t>[CELLRANGE]</a:t>
                    </a:fld>
                    <a:r>
                      <a:t>,</a:t>
                    </a:r>
                    <a:fld id="{406ff410-439e-445c-bd8e-a929d164d795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814d9857-bc36-4151-a1ee-dd52203022bc}" type="CELLRANGE">
                      <a:t>[CELLRANGE]</a:t>
                    </a:fld>
                    <a:r>
                      <a:t>,</a:t>
                    </a:r>
                    <a:fld id="{d75f7c37-a80a-4c45-a0e3-01879aede488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b1455743-3f01-48ae-b180-99f5d8874d87}" type="CELLRANGE">
                      <a:t>[CELLRANGE]</a:t>
                    </a:fld>
                    <a:r>
                      <a:t>,</a:t>
                    </a:r>
                    <a:fld id="{37fff144-5dd4-4bef-94fc-3b50e20bd9c9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33e85f40-4e41-469c-aa85-c8523e086bc7}" type="CELLRANGE">
                      <a:t>[CELLRANGE]</a:t>
                    </a:fld>
                    <a:r>
                      <a:t>,</a:t>
                    </a:r>
                    <a:fld id="{7f66c66a-eba7-4338-9d46-44fa346be46b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333fb752-e02b-4163-a9b5-7dc2f3c87a14}" type="CELLRANGE">
                      <a:t>[CELLRANGE]</a:t>
                    </a:fld>
                    <a:r>
                      <a:t>,</a:t>
                    </a:r>
                    <a:fld id="{8c192b3d-c7f6-4a30-84a7-b51adcc039f7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efab8d69-8c29-41cd-acfa-602443949249}" type="CELLRANGE">
                      <a:t>[CELLRANGE]</a:t>
                    </a:fld>
                    <a:r>
                      <a:t>,</a:t>
                    </a:r>
                    <a:fld id="{9bac3998-b7c6-468d-a151-3a6c832b05a9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8875b6d0-af34-4153-bda1-267e2c84531a}" type="CELLRANGE">
                      <a:t>[CELLRANGE]</a:t>
                    </a:fld>
                    <a:r>
                      <a:t>,</a:t>
                    </a:r>
                    <a:fld id="{c6a1a539-da3c-476a-8150-2d14912366b6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f4be9fd2-7d2d-408b-85c6-3803a617b834}" type="CELLRANGE">
                      <a:t>[CELLRANGE]</a:t>
                    </a:fld>
                    <a:r>
                      <a:t>,</a:t>
                    </a:r>
                    <a:fld id="{ecb9cffe-9044-4771-a61c-d5f958f8c24c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0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e99ec111-836d-412e-ab55-14bcc21ea766}" type="CELLRANGE">
                      <a:t>[CELLRANGE]</a:t>
                    </a:fld>
                    <a:r>
                      <a:t>,</a:t>
                    </a:r>
                    <a:fld id="{09aa827d-b765-499a-a661-df9710648026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5b50a9ee-1732-48a9-9ee4-3cacdf046ba2}" type="CELLRANGE">
                      <a:t>[CELLRANGE]</a:t>
                    </a:fld>
                    <a:r>
                      <a:t>,</a:t>
                    </a:r>
                    <a:fld id="{89f90e41-4870-478c-9cec-3460b57f4ad9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5c16c5b8-9977-41b2-8c59-b411f6572b19}" type="CELLRANGE">
                      <a:t>[CELLRANGE]</a:t>
                    </a:fld>
                    <a:r>
                      <a:t>,</a:t>
                    </a:r>
                    <a:fld id="{02ab9245-bde1-465e-9f88-a89ba12516e9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4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2768f012-1eaa-44d6-b837-6756509523bc}" type="CELLRANGE">
                      <a:t>[CELLRANGE]</a:t>
                    </a:fld>
                    <a:r>
                      <a:t>,</a:t>
                    </a:r>
                    <a:fld id="{78546ddf-7655-422d-981e-4203cd300132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5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3cf8529f-3284-4d73-a54a-40c04827309c}" type="CELLRANGE">
                      <a:t>[CELLRANGE]</a:t>
                    </a:fld>
                    <a:r>
                      <a:t>,</a:t>
                    </a:r>
                    <a:fld id="{f2eb2b33-2dd4-4320-9fd8-877ad6e4f239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6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7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37bbb7ff-b7cf-4491-99b5-56fe94238ba6}" type="CELLRANGE">
                      <a:t>[CELLRANGE]</a:t>
                    </a:fld>
                    <a:r>
                      <a:t>,</a:t>
                    </a:r>
                    <a:fld id="{9161f3ef-5b1b-4445-892a-7afcabe8cef9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8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6d1b9367-3477-4be3-9511-904b8bb18457}" type="CELLRANGE">
                      <a:t>[CELLRANGE]</a:t>
                    </a:fld>
                    <a:r>
                      <a:t>,</a:t>
                    </a:r>
                    <a:fld id="{fc64485e-0ef5-4d68-bf9c-edf3acb0ddc9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9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26df8765-bd20-42dd-84d7-2c4fae7b60bf}" type="CELLRANGE">
                      <a:t>[CELLRANGE]</a:t>
                    </a:fld>
                    <a:r>
                      <a:t>,</a:t>
                    </a:r>
                    <a:fld id="{2afe679a-97c3-42e1-8f43-2114083cf100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0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ee56ff00-cdae-491f-adfd-502505f00ae8}" type="CELLRANGE">
                      <a:t>[CELLRANGE]</a:t>
                    </a:fld>
                    <a:r>
                      <a:t>,</a:t>
                    </a:r>
                    <a:fld id="{6c6d2954-f9eb-4540-bb0c-6f1292873e68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1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2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4226710e-a035-4ac6-97f1-108943b35fb9}" type="CELLRANGE">
                      <a:t>[CELLRANGE]</a:t>
                    </a:fld>
                    <a:r>
                      <a:t>,</a:t>
                    </a:r>
                    <a:fld id="{3df273bd-1807-46d8-a998-e5410402611a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3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52a95807-6d64-4185-bf61-e5f5bc11b9ad}" type="CELLRANGE">
                      <a:t>[CELLRANGE]</a:t>
                    </a:fld>
                    <a:r>
                      <a:t>,</a:t>
                    </a:r>
                    <a:fld id="{34a0eb59-3bd9-43fa-b663-ae552c8eed7c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4"/>
              <c:layout/>
              <c:tx>
                <c:rich>
                  <a:bodyPr rot="0" spcFirstLastPara="1" vertOverflow="ellipsis" vert="horz" wrap="square" lIns="38100" tIns="19050" rIns="38100" bIns="19050" anchor="ctr" anchorCtr="1"/>
                  <a:lstStyle/>
                  <a:p>
                    <a:fld id="{1d015bb5-91bb-43fb-95e8-39ebe1064393}" type="CELLRANGE">
                      <a:t>[CELLRANGE]</a:t>
                    </a:fld>
                    <a:r>
                      <a:t>,</a:t>
                    </a:r>
                    <a:fld id="{1a0ab29b-8402-4144-822e-0d4c554373b1}" type="VALUE">
                      <a:t>[VALUE]</a:t>
                    </a:fld>
                    <a:endParaRPr lang="zh-CN" altLang="en-US"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0.0521628498727735"/>
          <c:y val="0.025445292620865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0.0521628498727735"/>
          <c:y val="0.025445292620865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>
      <xdr:nvGraphicFramePr>
        <xdr:cNvPr id="2" name="图表 1"/>
        <xdr:cNvGraphicFramePr/>
      </xdr:nvGraphicFramePr>
      <xdr:xfrm>
        <a:off x="0" y="0"/>
        <a:ext cx="3703320" cy="29946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>
      <xdr:nvGraphicFramePr>
        <xdr:cNvPr id="4" name="图表 3"/>
        <xdr:cNvGraphicFramePr/>
      </xdr:nvGraphicFramePr>
      <xdr:xfrm>
        <a:off x="0" y="2987040"/>
        <a:ext cx="7063740" cy="5455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>
      <xdr:nvGraphicFramePr>
        <xdr:cNvPr id="5" name="图表 4"/>
        <xdr:cNvGraphicFramePr/>
      </xdr:nvGraphicFramePr>
      <xdr:xfrm>
        <a:off x="7056120" y="2987040"/>
        <a:ext cx="7063740" cy="5455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>
      <xdr:nvGraphicFramePr>
        <xdr:cNvPr id="6" name="图表 5"/>
        <xdr:cNvGraphicFramePr/>
      </xdr:nvGraphicFramePr>
      <xdr:xfrm>
        <a:off x="3703320" y="0"/>
        <a:ext cx="5052060" cy="29946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>
      <xdr:nvGraphicFramePr>
        <xdr:cNvPr id="7" name="图表 6"/>
        <xdr:cNvGraphicFramePr/>
      </xdr:nvGraphicFramePr>
      <xdr:xfrm>
        <a:off x="8641080" y="0"/>
        <a:ext cx="5052060" cy="29946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"/>
  <sheetViews>
    <sheetView workbookViewId="0">
      <selection activeCell="L52" sqref="L52"/>
    </sheetView>
  </sheetViews>
  <sheetFormatPr defaultColWidth="9" defaultRowHeight="13.8"/>
  <sheetData/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M51"/>
  <sheetViews>
    <sheetView tabSelected="1" workbookViewId="0">
      <selection activeCell="B21" sqref="B21:D23"/>
    </sheetView>
  </sheetViews>
  <sheetFormatPr defaultColWidth="9" defaultRowHeight="20.4" customHeight="1"/>
  <cols>
    <col min="1" max="4" width="9.77777777777778" customWidth="1"/>
    <col min="6" max="6" width="10.7777777777778" customWidth="1"/>
    <col min="11" max="11" width="12.7777777777778" customWidth="1"/>
    <col min="14" max="14" width="8.88888888888889" customWidth="1"/>
    <col min="17" max="17" width="8.88888888888889" customWidth="1"/>
    <col min="20" max="20" width="8.88888888888889" customWidth="1"/>
    <col min="24" max="24" width="8.88888888888889" customWidth="1"/>
  </cols>
  <sheetData>
    <row r="1" customHeight="1" spans="1:37">
      <c r="A1" s="44" t="s">
        <v>0</v>
      </c>
      <c r="B1" s="44"/>
      <c r="C1" s="44"/>
      <c r="D1" s="44"/>
      <c r="F1" s="191" t="s">
        <v>1</v>
      </c>
      <c r="G1" s="191"/>
      <c r="H1" s="191"/>
      <c r="I1" s="191"/>
      <c r="J1" s="191"/>
      <c r="K1" s="191"/>
      <c r="M1" s="19" t="s">
        <v>2</v>
      </c>
      <c r="N1" s="19"/>
      <c r="O1" s="19"/>
      <c r="P1" s="19"/>
      <c r="Q1" s="19"/>
      <c r="R1" s="255"/>
      <c r="S1" s="255"/>
      <c r="T1" s="255"/>
      <c r="U1" s="255"/>
      <c r="V1" s="175"/>
      <c r="X1" s="256"/>
      <c r="Y1" s="266"/>
      <c r="Z1" s="267" t="s">
        <v>3</v>
      </c>
      <c r="AA1" s="266"/>
      <c r="AB1" s="267" t="s">
        <v>4</v>
      </c>
      <c r="AC1" s="266"/>
      <c r="AD1" s="267" t="s">
        <v>5</v>
      </c>
      <c r="AE1" s="266"/>
      <c r="AF1" s="267" t="s">
        <v>6</v>
      </c>
      <c r="AG1" s="266"/>
      <c r="AH1" s="267" t="s">
        <v>7</v>
      </c>
      <c r="AI1" s="266"/>
      <c r="AJ1" s="267" t="s">
        <v>8</v>
      </c>
      <c r="AK1" s="275"/>
    </row>
    <row r="2" customHeight="1" spans="1:39">
      <c r="A2" s="51" t="s">
        <v>9</v>
      </c>
      <c r="B2" s="47" t="s">
        <v>10</v>
      </c>
      <c r="C2" s="47"/>
      <c r="D2" s="47"/>
      <c r="F2" s="192" t="s">
        <v>11</v>
      </c>
      <c r="G2" s="193" t="s">
        <v>12</v>
      </c>
      <c r="H2" s="193" t="s">
        <v>13</v>
      </c>
      <c r="I2" s="193" t="s">
        <v>14</v>
      </c>
      <c r="J2" s="193" t="s">
        <v>15</v>
      </c>
      <c r="K2" s="235" t="s">
        <v>16</v>
      </c>
      <c r="M2" s="236" t="s">
        <v>17</v>
      </c>
      <c r="N2" s="236"/>
      <c r="O2" s="236"/>
      <c r="P2" s="236" t="s">
        <v>18</v>
      </c>
      <c r="Q2" s="236"/>
      <c r="R2" s="236"/>
      <c r="S2" s="236" t="s">
        <v>19</v>
      </c>
      <c r="T2" s="236"/>
      <c r="U2" s="236"/>
      <c r="V2" s="257"/>
      <c r="X2" s="256" t="s">
        <v>20</v>
      </c>
      <c r="Y2" s="266"/>
      <c r="Z2" s="267">
        <v>51</v>
      </c>
      <c r="AA2" s="266"/>
      <c r="AB2" s="267">
        <f>SUMIFS(Z11:AA90,AH11:AI90,AH10)</f>
        <v>30</v>
      </c>
      <c r="AC2" s="266"/>
      <c r="AD2" s="267">
        <f>SUMIFS(AB11:AC90,AH11:AI90,AH10)</f>
        <v>2</v>
      </c>
      <c r="AE2" s="266"/>
      <c r="AF2" s="267">
        <f>SUMIFS(AD11:AE90,AH11:AI90,AH10)</f>
        <v>-30</v>
      </c>
      <c r="AG2" s="266"/>
      <c r="AH2" s="267">
        <f>SUMIFS(AF11:AG90,AH11:AI90,AH10)</f>
        <v>0.5</v>
      </c>
      <c r="AI2" s="266"/>
      <c r="AJ2" s="267">
        <v>0</v>
      </c>
      <c r="AK2" s="275"/>
      <c r="AL2" s="175"/>
      <c r="AM2" s="175"/>
    </row>
    <row r="3" customHeight="1" spans="1:39">
      <c r="A3" s="51" t="s">
        <v>21</v>
      </c>
      <c r="B3" s="47" t="s">
        <v>22</v>
      </c>
      <c r="C3" s="47"/>
      <c r="D3" s="47"/>
      <c r="F3" s="194"/>
      <c r="G3" s="195">
        <v>50</v>
      </c>
      <c r="H3" s="195">
        <f ca="1" t="array" ref="H3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195"/>
      <c r="J3" s="195"/>
      <c r="K3" s="237">
        <f ca="1">SUM(G3:J3)</f>
        <v>50</v>
      </c>
      <c r="M3" s="238">
        <v>45</v>
      </c>
      <c r="N3" s="238" t="s">
        <v>23</v>
      </c>
      <c r="O3" s="238">
        <f ca="1" t="array" ref="O3">K7+INDIRECT("经历点数与履历"&amp;"!E3")</f>
        <v>45</v>
      </c>
      <c r="P3" s="238">
        <v>0</v>
      </c>
      <c r="Q3" s="238" t="s">
        <v>23</v>
      </c>
      <c r="R3" s="238">
        <v>0</v>
      </c>
      <c r="S3" s="238">
        <f>M3+P3</f>
        <v>45</v>
      </c>
      <c r="T3" s="238" t="s">
        <v>23</v>
      </c>
      <c r="U3" s="238">
        <f ca="1">O3+R3</f>
        <v>45</v>
      </c>
      <c r="V3" s="78"/>
      <c r="X3" s="258" t="s">
        <v>24</v>
      </c>
      <c r="Y3" s="268"/>
      <c r="Z3" s="269" t="s">
        <v>25</v>
      </c>
      <c r="AA3" s="270"/>
      <c r="AB3" s="270"/>
      <c r="AC3" s="270"/>
      <c r="AD3" s="270"/>
      <c r="AE3" s="271"/>
      <c r="AF3" s="269" t="s">
        <v>26</v>
      </c>
      <c r="AG3" s="270"/>
      <c r="AH3" s="270"/>
      <c r="AI3" s="270"/>
      <c r="AJ3" s="270"/>
      <c r="AK3" s="276"/>
      <c r="AL3" s="175"/>
      <c r="AM3" s="175"/>
    </row>
    <row r="4" customHeight="1" spans="1:37">
      <c r="A4" s="51" t="s">
        <v>27</v>
      </c>
      <c r="B4" s="47" t="s">
        <v>28</v>
      </c>
      <c r="C4" s="51" t="s">
        <v>29</v>
      </c>
      <c r="D4" s="47" t="s">
        <v>30</v>
      </c>
      <c r="F4" s="196" t="s">
        <v>31</v>
      </c>
      <c r="G4" s="197" t="s">
        <v>12</v>
      </c>
      <c r="H4" s="197" t="s">
        <v>13</v>
      </c>
      <c r="I4" s="197" t="s">
        <v>14</v>
      </c>
      <c r="J4" s="197" t="s">
        <v>15</v>
      </c>
      <c r="K4" s="239" t="s">
        <v>16</v>
      </c>
      <c r="M4" s="40" t="s">
        <v>32</v>
      </c>
      <c r="N4" s="41"/>
      <c r="O4" s="41"/>
      <c r="P4" s="41"/>
      <c r="Q4" s="41"/>
      <c r="R4" s="255"/>
      <c r="S4" s="255"/>
      <c r="T4" s="255"/>
      <c r="U4" s="255"/>
      <c r="V4" s="175"/>
      <c r="AJ4" s="175"/>
      <c r="AK4" s="175"/>
    </row>
    <row r="5" customHeight="1" spans="1:37">
      <c r="A5" s="51" t="s">
        <v>33</v>
      </c>
      <c r="B5" s="47">
        <v>387</v>
      </c>
      <c r="C5" s="51" t="s">
        <v>34</v>
      </c>
      <c r="D5" s="47" t="s">
        <v>35</v>
      </c>
      <c r="F5" s="198"/>
      <c r="G5" s="199">
        <v>50</v>
      </c>
      <c r="H5" s="199">
        <f ca="1" t="array" ref="H5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199"/>
      <c r="J5" s="199"/>
      <c r="K5" s="240">
        <f ca="1">SUM(G5:J5)</f>
        <v>50</v>
      </c>
      <c r="M5" s="236" t="s">
        <v>17</v>
      </c>
      <c r="N5" s="236"/>
      <c r="O5" s="236"/>
      <c r="P5" s="236" t="s">
        <v>18</v>
      </c>
      <c r="Q5" s="236"/>
      <c r="R5" s="236"/>
      <c r="S5" s="236" t="s">
        <v>19</v>
      </c>
      <c r="T5" s="236"/>
      <c r="U5" s="236"/>
      <c r="V5" s="257"/>
      <c r="AJ5" s="175"/>
      <c r="AK5" s="175"/>
    </row>
    <row r="6" customHeight="1" spans="1:37">
      <c r="A6" s="51" t="s">
        <v>36</v>
      </c>
      <c r="B6" s="47" t="s">
        <v>37</v>
      </c>
      <c r="C6" s="51" t="s">
        <v>38</v>
      </c>
      <c r="D6" s="47" t="s">
        <v>39</v>
      </c>
      <c r="F6" s="200" t="s">
        <v>40</v>
      </c>
      <c r="G6" s="201" t="s">
        <v>12</v>
      </c>
      <c r="H6" s="201" t="s">
        <v>13</v>
      </c>
      <c r="I6" s="201" t="s">
        <v>14</v>
      </c>
      <c r="J6" s="201" t="s">
        <v>15</v>
      </c>
      <c r="K6" s="241" t="s">
        <v>16</v>
      </c>
      <c r="M6" s="238">
        <v>30</v>
      </c>
      <c r="N6" s="238" t="s">
        <v>23</v>
      </c>
      <c r="O6" s="238">
        <f ca="1">K13</f>
        <v>30</v>
      </c>
      <c r="P6" s="238">
        <v>0</v>
      </c>
      <c r="Q6" s="238" t="s">
        <v>23</v>
      </c>
      <c r="R6" s="238">
        <v>0</v>
      </c>
      <c r="S6" s="238">
        <f>M6+P6</f>
        <v>30</v>
      </c>
      <c r="T6" s="238" t="s">
        <v>23</v>
      </c>
      <c r="U6" s="238">
        <f ca="1">O6+R6</f>
        <v>30</v>
      </c>
      <c r="V6" s="78"/>
      <c r="AJ6" s="175"/>
      <c r="AK6" s="175"/>
    </row>
    <row r="7" customHeight="1" spans="1:37">
      <c r="A7" s="51" t="s">
        <v>41</v>
      </c>
      <c r="B7" s="47" t="s">
        <v>42</v>
      </c>
      <c r="C7" s="47"/>
      <c r="D7" s="47"/>
      <c r="F7" s="202"/>
      <c r="G7" s="203">
        <v>40</v>
      </c>
      <c r="H7" s="203">
        <f ca="1" t="array" ref="H7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203"/>
      <c r="J7" s="203"/>
      <c r="K7" s="242">
        <f ca="1">SUM(G7:J7)</f>
        <v>40</v>
      </c>
      <c r="M7" s="23" t="s">
        <v>43</v>
      </c>
      <c r="N7" s="24"/>
      <c r="O7" s="24"/>
      <c r="P7" s="24"/>
      <c r="Q7" s="24"/>
      <c r="R7" s="255"/>
      <c r="S7" s="255"/>
      <c r="T7" s="255"/>
      <c r="U7" s="255"/>
      <c r="V7" s="175"/>
      <c r="AJ7" s="175"/>
      <c r="AK7" s="175"/>
    </row>
    <row r="8" customHeight="1" spans="1:35">
      <c r="A8" s="51" t="s">
        <v>44</v>
      </c>
      <c r="B8" s="47" t="s">
        <v>45</v>
      </c>
      <c r="C8" s="47"/>
      <c r="D8" s="47"/>
      <c r="F8" s="204" t="s">
        <v>46</v>
      </c>
      <c r="G8" s="205" t="s">
        <v>12</v>
      </c>
      <c r="H8" s="205" t="s">
        <v>13</v>
      </c>
      <c r="I8" s="205" t="s">
        <v>14</v>
      </c>
      <c r="J8" s="205" t="s">
        <v>15</v>
      </c>
      <c r="K8" s="243" t="s">
        <v>16</v>
      </c>
      <c r="M8" s="236" t="s">
        <v>17</v>
      </c>
      <c r="N8" s="236"/>
      <c r="O8" s="236"/>
      <c r="P8" s="236" t="s">
        <v>47</v>
      </c>
      <c r="Q8" s="236"/>
      <c r="R8" s="236"/>
      <c r="S8" s="236" t="s">
        <v>19</v>
      </c>
      <c r="T8" s="236"/>
      <c r="U8" s="236"/>
      <c r="V8" s="257"/>
      <c r="X8" s="259" t="s">
        <v>48</v>
      </c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277"/>
    </row>
    <row r="9" customHeight="1" spans="1:35">
      <c r="A9" s="206" t="s">
        <v>49</v>
      </c>
      <c r="B9" s="207" t="s">
        <v>50</v>
      </c>
      <c r="C9" s="207"/>
      <c r="D9" s="207"/>
      <c r="F9" s="208"/>
      <c r="G9" s="209">
        <v>30</v>
      </c>
      <c r="H9" s="209">
        <f ca="1" t="array" ref="H9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209"/>
      <c r="J9" s="209"/>
      <c r="K9" s="244">
        <f ca="1">SUM(G9:J9)</f>
        <v>30</v>
      </c>
      <c r="M9" s="238">
        <v>6</v>
      </c>
      <c r="N9" s="238" t="s">
        <v>23</v>
      </c>
      <c r="O9" s="238">
        <v>6</v>
      </c>
      <c r="P9" s="238">
        <v>5</v>
      </c>
      <c r="Q9" s="238" t="s">
        <v>23</v>
      </c>
      <c r="R9" s="238">
        <f ca="1">INT(K5/10)</f>
        <v>5</v>
      </c>
      <c r="S9" s="238">
        <f>M9+P9</f>
        <v>11</v>
      </c>
      <c r="T9" s="238" t="s">
        <v>23</v>
      </c>
      <c r="U9" s="238">
        <f ca="1">O9+R9</f>
        <v>11</v>
      </c>
      <c r="V9" s="78"/>
      <c r="X9" s="259"/>
      <c r="Y9" s="273"/>
      <c r="Z9" s="274" t="s">
        <v>51</v>
      </c>
      <c r="AA9" s="273"/>
      <c r="AB9" s="274" t="s">
        <v>52</v>
      </c>
      <c r="AC9" s="273"/>
      <c r="AD9" s="274" t="s">
        <v>53</v>
      </c>
      <c r="AE9" s="273"/>
      <c r="AF9" s="274" t="s">
        <v>54</v>
      </c>
      <c r="AG9" s="273"/>
      <c r="AH9" s="274" t="s">
        <v>55</v>
      </c>
      <c r="AI9" s="277"/>
    </row>
    <row r="10" customHeight="1" spans="1:35">
      <c r="A10" s="210"/>
      <c r="B10" s="211"/>
      <c r="C10" s="211"/>
      <c r="D10" s="211"/>
      <c r="F10" s="212" t="s">
        <v>56</v>
      </c>
      <c r="G10" s="213" t="s">
        <v>12</v>
      </c>
      <c r="H10" s="213" t="s">
        <v>13</v>
      </c>
      <c r="I10" s="213" t="s">
        <v>14</v>
      </c>
      <c r="J10" s="213" t="s">
        <v>15</v>
      </c>
      <c r="K10" s="245" t="s">
        <v>16</v>
      </c>
      <c r="X10" s="259" t="s">
        <v>57</v>
      </c>
      <c r="Y10" s="273"/>
      <c r="Z10" s="274">
        <v>0</v>
      </c>
      <c r="AA10" s="273"/>
      <c r="AB10" s="274">
        <v>0</v>
      </c>
      <c r="AC10" s="273"/>
      <c r="AD10" s="274">
        <v>0</v>
      </c>
      <c r="AE10" s="273"/>
      <c r="AF10" s="274">
        <v>0</v>
      </c>
      <c r="AG10" s="273"/>
      <c r="AH10" s="274" t="s">
        <v>58</v>
      </c>
      <c r="AI10" s="277"/>
    </row>
    <row r="11" customHeight="1" spans="1:35">
      <c r="A11" s="210"/>
      <c r="B11" s="211"/>
      <c r="C11" s="211"/>
      <c r="D11" s="211"/>
      <c r="F11" s="214"/>
      <c r="G11" s="215">
        <v>40</v>
      </c>
      <c r="H11" s="215">
        <f ca="1" t="array" ref="H1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215"/>
      <c r="J11" s="215"/>
      <c r="K11" s="246">
        <f ca="1">SUM(G11:J11)</f>
        <v>40</v>
      </c>
      <c r="M11" s="247" t="s">
        <v>59</v>
      </c>
      <c r="N11" s="247"/>
      <c r="O11" s="247"/>
      <c r="P11" s="247"/>
      <c r="Q11" s="247"/>
      <c r="R11" s="247"/>
      <c r="S11" s="247"/>
      <c r="T11" s="247"/>
      <c r="U11" s="247"/>
      <c r="V11" s="191"/>
      <c r="W11" s="260" t="s">
        <v>60</v>
      </c>
      <c r="X11" s="259" t="s">
        <v>61</v>
      </c>
      <c r="Y11" s="273"/>
      <c r="Z11" s="274"/>
      <c r="AA11" s="273"/>
      <c r="AB11" s="274"/>
      <c r="AC11" s="273"/>
      <c r="AD11" s="274"/>
      <c r="AE11" s="273"/>
      <c r="AF11" s="274"/>
      <c r="AG11" s="273"/>
      <c r="AH11" s="274"/>
      <c r="AI11" s="277"/>
    </row>
    <row r="12" customHeight="1" spans="1:35">
      <c r="A12" s="216"/>
      <c r="B12" s="217"/>
      <c r="C12" s="217"/>
      <c r="D12" s="217"/>
      <c r="F12" s="218" t="s">
        <v>62</v>
      </c>
      <c r="G12" s="219" t="s">
        <v>12</v>
      </c>
      <c r="H12" s="219" t="s">
        <v>13</v>
      </c>
      <c r="I12" s="219" t="s">
        <v>14</v>
      </c>
      <c r="J12" s="219" t="s">
        <v>15</v>
      </c>
      <c r="K12" s="248" t="s">
        <v>16</v>
      </c>
      <c r="M12" s="249" t="s">
        <v>63</v>
      </c>
      <c r="N12" s="249"/>
      <c r="O12" s="249"/>
      <c r="P12" s="250" t="s">
        <v>64</v>
      </c>
      <c r="Q12" s="250"/>
      <c r="R12" s="250"/>
      <c r="S12" s="249" t="s">
        <v>65</v>
      </c>
      <c r="T12" s="249"/>
      <c r="U12" s="250">
        <f ca="1" t="array" ref="U12">IF(P12=INDIRECT("武器"&amp;"!G3"),INDIRECT("武器"&amp;"!G5"),INDIRECT("武器"&amp;"!G12"))</f>
        <v>8</v>
      </c>
      <c r="V12" s="261"/>
      <c r="W12" s="262"/>
      <c r="X12" s="259" t="s">
        <v>66</v>
      </c>
      <c r="Y12" s="273"/>
      <c r="Z12" s="274"/>
      <c r="AA12" s="273"/>
      <c r="AB12" s="274"/>
      <c r="AC12" s="273"/>
      <c r="AD12" s="274"/>
      <c r="AE12" s="273"/>
      <c r="AF12" s="274"/>
      <c r="AG12" s="273"/>
      <c r="AH12" s="274"/>
      <c r="AI12" s="277"/>
    </row>
    <row r="13" customHeight="1" spans="1:35">
      <c r="A13" s="44" t="s">
        <v>67</v>
      </c>
      <c r="B13" s="44"/>
      <c r="C13" s="44"/>
      <c r="D13" s="44"/>
      <c r="F13" s="218"/>
      <c r="G13" s="219">
        <v>30</v>
      </c>
      <c r="H13" s="219">
        <f ca="1" t="array" ref="H13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219"/>
      <c r="J13" s="219"/>
      <c r="K13" s="248">
        <f ca="1">SUM(G13:J13)</f>
        <v>30</v>
      </c>
      <c r="M13" s="249" t="s">
        <v>68</v>
      </c>
      <c r="N13" s="249"/>
      <c r="O13" s="249"/>
      <c r="P13" s="249" t="s">
        <v>69</v>
      </c>
      <c r="Q13" s="249"/>
      <c r="R13" s="249"/>
      <c r="S13" s="249" t="s">
        <v>70</v>
      </c>
      <c r="T13" s="249"/>
      <c r="U13" s="249"/>
      <c r="V13" s="45"/>
      <c r="W13" s="262"/>
      <c r="X13" s="259" t="s">
        <v>71</v>
      </c>
      <c r="Y13" s="273"/>
      <c r="Z13" s="274">
        <v>15</v>
      </c>
      <c r="AA13" s="273"/>
      <c r="AB13" s="274">
        <v>1</v>
      </c>
      <c r="AC13" s="273"/>
      <c r="AD13" s="274">
        <v>-15</v>
      </c>
      <c r="AE13" s="273"/>
      <c r="AF13" s="274">
        <v>0</v>
      </c>
      <c r="AG13" s="273"/>
      <c r="AH13" s="274" t="s">
        <v>58</v>
      </c>
      <c r="AI13" s="277"/>
    </row>
    <row r="14" customHeight="1" spans="1:35">
      <c r="A14" s="51" t="s">
        <v>72</v>
      </c>
      <c r="B14" s="51" t="s">
        <v>73</v>
      </c>
      <c r="C14" s="220" t="s">
        <v>74</v>
      </c>
      <c r="D14" s="220"/>
      <c r="M14" s="249" t="s">
        <v>75</v>
      </c>
      <c r="N14" s="251" t="str">
        <f ca="1">IF(P12=INDIRECT("武器"&amp;"!G3"),INDIRECT("武器"&amp;"!J3"),INDIRECT("武器"&amp;"!J10"))</f>
        <v>长柄刀</v>
      </c>
      <c r="O14" s="251"/>
      <c r="P14" s="249" t="s">
        <v>75</v>
      </c>
      <c r="Q14" s="251" t="s">
        <v>76</v>
      </c>
      <c r="R14" s="251"/>
      <c r="S14" s="249" t="s">
        <v>75</v>
      </c>
      <c r="T14" s="251" t="s">
        <v>77</v>
      </c>
      <c r="U14" s="251"/>
      <c r="V14" s="263"/>
      <c r="W14" s="262"/>
      <c r="X14" s="259" t="s">
        <v>78</v>
      </c>
      <c r="Y14" s="273"/>
      <c r="Z14" s="274"/>
      <c r="AA14" s="273"/>
      <c r="AB14" s="274"/>
      <c r="AC14" s="273"/>
      <c r="AD14" s="274"/>
      <c r="AE14" s="273"/>
      <c r="AF14" s="274"/>
      <c r="AG14" s="273"/>
      <c r="AH14" s="274"/>
      <c r="AI14" s="277"/>
    </row>
    <row r="15" customHeight="1" spans="1:35">
      <c r="A15" s="47" t="s">
        <v>79</v>
      </c>
      <c r="B15" s="47" t="s">
        <v>80</v>
      </c>
      <c r="C15" s="221">
        <f ca="1">VLOOKUP(B15,INDIRECT("各种技能"&amp;"!A5:G32"),7,FALSE)</f>
        <v>64</v>
      </c>
      <c r="D15" s="221"/>
      <c r="F15" s="44" t="s">
        <v>81</v>
      </c>
      <c r="G15" s="44"/>
      <c r="H15" s="44"/>
      <c r="I15" s="44"/>
      <c r="J15" s="44"/>
      <c r="K15" s="44"/>
      <c r="M15" s="252" t="s">
        <v>82</v>
      </c>
      <c r="N15" s="253">
        <f ca="1">VLOOKUP(N14,INDIRECT("各种技能"&amp;"!L5:R32"),7,FALSE)</f>
        <v>50.7</v>
      </c>
      <c r="O15" s="253"/>
      <c r="P15" s="252" t="s">
        <v>82</v>
      </c>
      <c r="Q15" s="253">
        <f ca="1">VLOOKUP(Q14,INDIRECT("各种技能"&amp;"!A5:J32"),7,FALSE)</f>
        <v>50.7</v>
      </c>
      <c r="R15" s="253"/>
      <c r="S15" s="252" t="s">
        <v>82</v>
      </c>
      <c r="T15" s="253">
        <f ca="1">VLOOKUP(T14,INDIRECT("各种技能"&amp;"!A5:J32"),7,FALSE)</f>
        <v>50.7</v>
      </c>
      <c r="U15" s="253"/>
      <c r="V15" s="264"/>
      <c r="W15" s="262"/>
      <c r="X15" s="259" t="s">
        <v>83</v>
      </c>
      <c r="Y15" s="273"/>
      <c r="Z15" s="274"/>
      <c r="AA15" s="273"/>
      <c r="AB15" s="274"/>
      <c r="AC15" s="273"/>
      <c r="AD15" s="274"/>
      <c r="AE15" s="273"/>
      <c r="AF15" s="274"/>
      <c r="AG15" s="273"/>
      <c r="AH15" s="274"/>
      <c r="AI15" s="277"/>
    </row>
    <row r="16" customHeight="1" spans="1:35">
      <c r="A16" s="47" t="s">
        <v>84</v>
      </c>
      <c r="B16" s="47" t="s">
        <v>85</v>
      </c>
      <c r="C16" s="221">
        <f ca="1">VLOOKUP(B16,INDIRECT("各种技能"&amp;"!L5:R32"),7,FALSE)</f>
        <v>50.7</v>
      </c>
      <c r="D16" s="221"/>
      <c r="F16" s="222" t="s">
        <v>86</v>
      </c>
      <c r="G16" s="222" t="s">
        <v>87</v>
      </c>
      <c r="H16" s="222" t="s">
        <v>88</v>
      </c>
      <c r="I16" s="222" t="s">
        <v>89</v>
      </c>
      <c r="J16" s="222" t="s">
        <v>23</v>
      </c>
      <c r="K16" s="222" t="s">
        <v>90</v>
      </c>
      <c r="M16" s="254" t="s">
        <v>91</v>
      </c>
      <c r="N16" s="251"/>
      <c r="O16" s="251"/>
      <c r="P16" s="254" t="s">
        <v>91</v>
      </c>
      <c r="Q16" s="251"/>
      <c r="R16" s="251"/>
      <c r="S16" s="254" t="s">
        <v>91</v>
      </c>
      <c r="T16" s="251"/>
      <c r="U16" s="251"/>
      <c r="V16" s="263"/>
      <c r="W16" s="262"/>
      <c r="X16" s="259" t="s">
        <v>92</v>
      </c>
      <c r="Y16" s="273"/>
      <c r="Z16" s="274">
        <v>15</v>
      </c>
      <c r="AA16" s="273"/>
      <c r="AB16" s="274">
        <v>1</v>
      </c>
      <c r="AC16" s="273"/>
      <c r="AD16" s="274">
        <v>-15</v>
      </c>
      <c r="AE16" s="273"/>
      <c r="AF16" s="274">
        <v>0.5</v>
      </c>
      <c r="AG16" s="273"/>
      <c r="AH16" s="274" t="s">
        <v>58</v>
      </c>
      <c r="AI16" s="277"/>
    </row>
    <row r="17" customHeight="1" spans="1:35">
      <c r="A17" s="216" t="s">
        <v>93</v>
      </c>
      <c r="B17" s="223" t="s">
        <v>94</v>
      </c>
      <c r="C17" s="223"/>
      <c r="D17" s="223"/>
      <c r="F17" s="224" t="s">
        <v>95</v>
      </c>
      <c r="G17" s="224">
        <f ca="1" t="array" ref="G17">INDIRECT("防具"&amp;"!E4")</f>
        <v>1</v>
      </c>
      <c r="H17" s="225">
        <f ca="1" t="array" ref="H17">INDIRECT("防具"&amp;"!F4")</f>
        <v>0.2</v>
      </c>
      <c r="I17" s="224">
        <v>5</v>
      </c>
      <c r="J17" s="222" t="s">
        <v>23</v>
      </c>
      <c r="K17" s="224">
        <f ca="1" t="array" ref="K17">INDIRECT("防具"&amp;"!G4")</f>
        <v>5</v>
      </c>
      <c r="M17" s="252" t="s">
        <v>96</v>
      </c>
      <c r="N17" s="253">
        <f ca="1" t="array" ref="N17">IF(P12=INDIRECT("武器"&amp;"!G3"),INDIRECT("武器"&amp;"!J5"),INDIRECT("武器"&amp;"!J12"))</f>
        <v>16</v>
      </c>
      <c r="O17" s="253"/>
      <c r="P17" s="252" t="s">
        <v>96</v>
      </c>
      <c r="Q17" s="253">
        <f ca="1" t="array" ref="Q17">INDIRECT("防具"&amp;"!U1")</f>
        <v>8</v>
      </c>
      <c r="R17" s="253"/>
      <c r="S17" s="252" t="s">
        <v>96</v>
      </c>
      <c r="T17" s="253">
        <f ca="1" t="array" ref="T17">INDIRECT("防具"&amp;"!U1")</f>
        <v>8</v>
      </c>
      <c r="U17" s="253"/>
      <c r="V17" s="264"/>
      <c r="W17" s="262"/>
      <c r="X17" s="259" t="s">
        <v>97</v>
      </c>
      <c r="Y17" s="273"/>
      <c r="Z17" s="274"/>
      <c r="AA17" s="273"/>
      <c r="AB17" s="274"/>
      <c r="AC17" s="273"/>
      <c r="AD17" s="274"/>
      <c r="AE17" s="273"/>
      <c r="AF17" s="274"/>
      <c r="AG17" s="273"/>
      <c r="AH17" s="274"/>
      <c r="AI17" s="277"/>
    </row>
    <row r="18" customHeight="1" spans="1:35">
      <c r="A18" s="226" t="s">
        <v>98</v>
      </c>
      <c r="B18" s="227" t="str">
        <f>VLOOKUP(B17,A42:C51,2,FALSE)</f>
        <v>长柄刀、长枪、水性、防御、抵抗、缴械</v>
      </c>
      <c r="C18" s="227"/>
      <c r="D18" s="227"/>
      <c r="F18" s="224" t="s">
        <v>99</v>
      </c>
      <c r="G18" s="224">
        <f ca="1" t="array" ref="G18">INDIRECT("防具"&amp;"!E8")</f>
        <v>2</v>
      </c>
      <c r="H18" s="225">
        <f ca="1" t="array" ref="H18">INDIRECT("防具"&amp;"!F8")</f>
        <v>0.3</v>
      </c>
      <c r="I18" s="224">
        <v>8</v>
      </c>
      <c r="J18" s="222" t="s">
        <v>23</v>
      </c>
      <c r="K18" s="224">
        <f ca="1" t="array" ref="K18">INDIRECT("防具"&amp;"!G8")</f>
        <v>8</v>
      </c>
      <c r="M18" s="254" t="s">
        <v>91</v>
      </c>
      <c r="N18" s="251"/>
      <c r="O18" s="251"/>
      <c r="P18" s="254" t="s">
        <v>91</v>
      </c>
      <c r="Q18" s="251"/>
      <c r="R18" s="251"/>
      <c r="S18" s="254" t="s">
        <v>91</v>
      </c>
      <c r="T18" s="251"/>
      <c r="U18" s="251"/>
      <c r="V18" s="263"/>
      <c r="W18" s="262"/>
      <c r="X18" s="259" t="s">
        <v>100</v>
      </c>
      <c r="Y18" s="273"/>
      <c r="Z18" s="274"/>
      <c r="AA18" s="273"/>
      <c r="AB18" s="274"/>
      <c r="AC18" s="273"/>
      <c r="AD18" s="274"/>
      <c r="AE18" s="273"/>
      <c r="AF18" s="274"/>
      <c r="AG18" s="273"/>
      <c r="AH18" s="274"/>
      <c r="AI18" s="277"/>
    </row>
    <row r="19" customHeight="1" spans="1:35">
      <c r="A19" s="228"/>
      <c r="B19" s="229"/>
      <c r="C19" s="229"/>
      <c r="D19" s="229"/>
      <c r="F19" s="224" t="s">
        <v>101</v>
      </c>
      <c r="G19" s="224">
        <f ca="1" t="array" ref="G19">INDIRECT("防具"&amp;"!E12")</f>
        <v>3</v>
      </c>
      <c r="H19" s="225">
        <f ca="1" t="array" ref="H19">INDIRECT("防具"&amp;"!F12")</f>
        <v>0.4</v>
      </c>
      <c r="I19" s="224">
        <v>10</v>
      </c>
      <c r="J19" s="222" t="s">
        <v>23</v>
      </c>
      <c r="K19" s="224">
        <f ca="1" t="array" ref="K19">INDIRECT("防具"&amp;"!G12")</f>
        <v>10</v>
      </c>
      <c r="M19" s="254" t="s">
        <v>102</v>
      </c>
      <c r="N19" s="253">
        <v>0</v>
      </c>
      <c r="O19" s="253"/>
      <c r="P19" s="254" t="s">
        <v>102</v>
      </c>
      <c r="Q19" s="253">
        <v>0</v>
      </c>
      <c r="R19" s="253"/>
      <c r="S19" s="254" t="s">
        <v>102</v>
      </c>
      <c r="T19" s="253">
        <v>0</v>
      </c>
      <c r="U19" s="253"/>
      <c r="V19" s="264"/>
      <c r="W19" s="265"/>
      <c r="X19" s="259" t="s">
        <v>103</v>
      </c>
      <c r="Y19" s="273"/>
      <c r="Z19" s="274"/>
      <c r="AA19" s="273"/>
      <c r="AB19" s="274"/>
      <c r="AC19" s="273"/>
      <c r="AD19" s="274"/>
      <c r="AE19" s="273"/>
      <c r="AF19" s="274"/>
      <c r="AG19" s="273"/>
      <c r="AH19" s="274"/>
      <c r="AI19" s="277"/>
    </row>
    <row r="20" customHeight="1" spans="1:22">
      <c r="A20" s="230"/>
      <c r="B20" s="231"/>
      <c r="C20" s="231"/>
      <c r="D20" s="231"/>
      <c r="F20" s="224" t="s">
        <v>104</v>
      </c>
      <c r="G20" s="224">
        <f ca="1" t="array" ref="G20">INDIRECT("防具"&amp;"!E16")</f>
        <v>2</v>
      </c>
      <c r="H20" s="225">
        <f ca="1" t="array" ref="H20">INDIRECT("防具"&amp;"!F16")</f>
        <v>0.3</v>
      </c>
      <c r="I20" s="224">
        <v>8</v>
      </c>
      <c r="J20" s="222" t="s">
        <v>23</v>
      </c>
      <c r="K20" s="224">
        <f ca="1" t="array" ref="K20">INDIRECT("防具"&amp;"!G16")</f>
        <v>8</v>
      </c>
      <c r="M20" s="254" t="s">
        <v>105</v>
      </c>
      <c r="N20" s="253">
        <f ca="1">IF(N18=0,N17*N19,N19*N18)</f>
        <v>0</v>
      </c>
      <c r="O20" s="253"/>
      <c r="P20" s="254" t="s">
        <v>105</v>
      </c>
      <c r="Q20" s="253">
        <f ca="1">IF(Q18=0,Q17*Q19,Q18*Q19)</f>
        <v>0</v>
      </c>
      <c r="R20" s="253"/>
      <c r="S20" s="254" t="s">
        <v>105</v>
      </c>
      <c r="T20" s="253">
        <f ca="1">IF(T18=0,T17*T19,T18*T19)</f>
        <v>0</v>
      </c>
      <c r="U20" s="253"/>
      <c r="V20" s="264"/>
    </row>
    <row r="21" customHeight="1" spans="1:22">
      <c r="A21" s="206" t="s">
        <v>106</v>
      </c>
      <c r="B21" s="232" t="str">
        <f>VLOOKUP(B17,A42:D51,3,FALSE)</f>
        <v>水下所有检定有-10的奖励</v>
      </c>
      <c r="C21" s="232"/>
      <c r="D21" s="232"/>
      <c r="F21" s="224" t="s">
        <v>107</v>
      </c>
      <c r="G21" s="224"/>
      <c r="H21" s="224"/>
      <c r="I21" s="224"/>
      <c r="J21" s="222" t="s">
        <v>108</v>
      </c>
      <c r="K21" s="222"/>
      <c r="M21" s="254" t="s">
        <v>109</v>
      </c>
      <c r="N21" s="253"/>
      <c r="O21" s="253"/>
      <c r="P21" s="254" t="s">
        <v>109</v>
      </c>
      <c r="Q21" s="253"/>
      <c r="R21" s="253"/>
      <c r="S21" s="254" t="s">
        <v>109</v>
      </c>
      <c r="T21" s="253"/>
      <c r="U21" s="253"/>
      <c r="V21" s="264"/>
    </row>
    <row r="22" customHeight="1" spans="1:22">
      <c r="A22" s="210"/>
      <c r="B22" s="233"/>
      <c r="C22" s="233"/>
      <c r="D22" s="233"/>
      <c r="F22" s="224" t="s">
        <v>110</v>
      </c>
      <c r="G22" s="224">
        <f ca="1" t="array" ref="G22">INDIRECT("坐骑"&amp;"!N4")</f>
        <v>2</v>
      </c>
      <c r="H22" s="225">
        <f ca="1" t="array" ref="H22">INDIRECT("坐骑"&amp;"!O4")</f>
        <v>0.3</v>
      </c>
      <c r="I22" s="224">
        <v>8</v>
      </c>
      <c r="J22" s="224" t="s">
        <v>23</v>
      </c>
      <c r="K22" s="224">
        <f ca="1" t="array" ref="K22">INDIRECT("坐骑"&amp;"!S13")</f>
        <v>8</v>
      </c>
      <c r="M22" s="254" t="s">
        <v>111</v>
      </c>
      <c r="N22" s="253">
        <f ca="1">SUM(N20,N21)</f>
        <v>0</v>
      </c>
      <c r="O22" s="253"/>
      <c r="P22" s="254" t="s">
        <v>111</v>
      </c>
      <c r="Q22" s="253">
        <f ca="1">SUM(Q20,Q21)</f>
        <v>0</v>
      </c>
      <c r="R22" s="253"/>
      <c r="S22" s="254" t="s">
        <v>111</v>
      </c>
      <c r="T22" s="253">
        <f ca="1">SUM(T20,T21)</f>
        <v>0</v>
      </c>
      <c r="U22" s="253"/>
      <c r="V22" s="264"/>
    </row>
    <row r="23" customHeight="1" spans="1:22">
      <c r="A23" s="216"/>
      <c r="B23" s="234"/>
      <c r="C23" s="234"/>
      <c r="D23" s="234"/>
      <c r="M23" s="254" t="s">
        <v>112</v>
      </c>
      <c r="N23" s="253">
        <f ca="1">IF(IF(N16=0,N15-N22,N16-N22)&lt;$K$3/2,$K$3/2,IF(N16=0,N15-N22,N16-N22))</f>
        <v>50.7</v>
      </c>
      <c r="O23" s="253"/>
      <c r="P23" s="254" t="s">
        <v>112</v>
      </c>
      <c r="Q23" s="253">
        <f ca="1">IF(IF(Q16=0,Q15-Q22,Q16-Q22)&lt;$K$3/2,$K$3/2,IF(Q16=0,Q15-Q22,Q16-Q22))</f>
        <v>50.7</v>
      </c>
      <c r="R23" s="253"/>
      <c r="S23" s="254" t="s">
        <v>112</v>
      </c>
      <c r="T23" s="253">
        <f ca="1">IF(IF(T16=0,T15-T22,T16-T22)&lt;$K$5/2,$K$5/2,IF(T16=0,T15-T22,T16-T22))</f>
        <v>50.7</v>
      </c>
      <c r="U23" s="253"/>
      <c r="V23" s="264"/>
    </row>
    <row r="24" customHeight="1" spans="22:22">
      <c r="V24" s="264"/>
    </row>
    <row r="26" customHeight="1" spans="3:3">
      <c r="C26">
        <f ca="1" t="array" ref="C26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customHeight="1" spans="1:8">
      <c r="A29" t="s">
        <v>11</v>
      </c>
      <c r="B29">
        <f ca="1">K3</f>
        <v>50</v>
      </c>
      <c r="D29" t="s">
        <v>58</v>
      </c>
      <c r="G29" t="s">
        <v>113</v>
      </c>
      <c r="H29" t="s">
        <v>114</v>
      </c>
    </row>
    <row r="30" customHeight="1" spans="1:8">
      <c r="A30" t="s">
        <v>56</v>
      </c>
      <c r="B30">
        <f ca="1">K11</f>
        <v>40</v>
      </c>
      <c r="D30" t="s">
        <v>108</v>
      </c>
      <c r="F30" t="s">
        <v>115</v>
      </c>
      <c r="G30">
        <f>S9</f>
        <v>11</v>
      </c>
      <c r="H30">
        <f ca="1">U9</f>
        <v>11</v>
      </c>
    </row>
    <row r="31" customHeight="1" spans="1:8">
      <c r="A31" t="s">
        <v>31</v>
      </c>
      <c r="B31">
        <f ca="1">K5</f>
        <v>50</v>
      </c>
      <c r="F31" t="s">
        <v>116</v>
      </c>
      <c r="G31">
        <f>S6</f>
        <v>30</v>
      </c>
      <c r="H31">
        <f ca="1">U6</f>
        <v>30</v>
      </c>
    </row>
    <row r="32" customHeight="1" spans="1:8">
      <c r="A32" t="s">
        <v>62</v>
      </c>
      <c r="B32">
        <f ca="1">K13</f>
        <v>30</v>
      </c>
      <c r="F32" t="s">
        <v>117</v>
      </c>
      <c r="G32">
        <f>S3</f>
        <v>45</v>
      </c>
      <c r="H32">
        <f ca="1">U3</f>
        <v>45</v>
      </c>
    </row>
    <row r="33" customHeight="1" spans="1:2">
      <c r="A33" t="s">
        <v>40</v>
      </c>
      <c r="B33">
        <f ca="1">K7</f>
        <v>40</v>
      </c>
    </row>
    <row r="34" customHeight="1" spans="1:2">
      <c r="A34" t="s">
        <v>46</v>
      </c>
      <c r="B34">
        <f ca="1">K9</f>
        <v>30</v>
      </c>
    </row>
    <row r="35" customHeight="1" spans="7:8">
      <c r="G35" t="s">
        <v>113</v>
      </c>
      <c r="H35" t="s">
        <v>114</v>
      </c>
    </row>
    <row r="36" customHeight="1" spans="1:8">
      <c r="A36" t="s">
        <v>118</v>
      </c>
      <c r="C36">
        <f ca="1">COUNTIF(B18,"*战术*")</f>
        <v>0</v>
      </c>
      <c r="F36" t="s">
        <v>95</v>
      </c>
      <c r="G36">
        <f>I17</f>
        <v>5</v>
      </c>
      <c r="H36">
        <f ca="1">K17</f>
        <v>5</v>
      </c>
    </row>
    <row r="37" customHeight="1" spans="1:8">
      <c r="A37" t="s">
        <v>119</v>
      </c>
      <c r="F37" t="s">
        <v>99</v>
      </c>
      <c r="G37">
        <f>I18</f>
        <v>8</v>
      </c>
      <c r="H37">
        <f ca="1">K18</f>
        <v>8</v>
      </c>
    </row>
    <row r="38" customHeight="1" spans="1:8">
      <c r="A38" t="s">
        <v>120</v>
      </c>
      <c r="F38" t="s">
        <v>101</v>
      </c>
      <c r="G38">
        <f>I19</f>
        <v>10</v>
      </c>
      <c r="H38">
        <f ca="1">K19</f>
        <v>10</v>
      </c>
    </row>
    <row r="39" customHeight="1" spans="1:8">
      <c r="A39" t="s">
        <v>121</v>
      </c>
      <c r="F39" t="s">
        <v>104</v>
      </c>
      <c r="G39">
        <f>I20</f>
        <v>8</v>
      </c>
      <c r="H39">
        <f ca="1">K20</f>
        <v>8</v>
      </c>
    </row>
    <row r="42" customHeight="1" spans="1:3">
      <c r="A42" t="str">
        <f>社群与职业!F4</f>
        <v>御海行者</v>
      </c>
      <c r="B42" t="str">
        <f>社群与职业!H4</f>
        <v>长柄刀、长枪、水性、防御、抵抗、缴械</v>
      </c>
      <c r="C42" t="str">
        <f>社群与职业!M4</f>
        <v>水下所有检定有-10的奖励</v>
      </c>
    </row>
    <row r="43" customHeight="1" spans="1:3">
      <c r="A43" t="str">
        <f>社群与职业!F6</f>
        <v>武者</v>
      </c>
      <c r="B43" t="str">
        <f>社群与职业!H6</f>
        <v>长柄刀、搬运、缴械</v>
      </c>
      <c r="C43" t="str">
        <f>社群与职业!M6</f>
        <v>每回合多2次进入子弹时间的机会；每回合获得额外2点只可用于敌意行动的行动点。</v>
      </c>
    </row>
    <row r="44" customHeight="1" spans="1:3">
      <c r="A44" t="str">
        <f>社群与职业!F8</f>
        <v>卫士</v>
      </c>
      <c r="B44" t="str">
        <f>社群与职业!H8</f>
        <v>抵抗、水性、防御</v>
      </c>
      <c r="C44" t="str">
        <f>社群与职业!M8</f>
        <v>每回合获得一次群体嘲讽的机会；每回合的第一次防守检定不算衰减。</v>
      </c>
    </row>
    <row r="45" customHeight="1" spans="1:3">
      <c r="A45">
        <f>社群与职业!F10</f>
        <v>0</v>
      </c>
      <c r="B45">
        <f>社群与职业!H10</f>
        <v>0</v>
      </c>
      <c r="C45">
        <f>社群与职业!M10</f>
        <v>0</v>
      </c>
    </row>
    <row r="46" customHeight="1" spans="1:3">
      <c r="A46">
        <f>社群与职业!F12</f>
        <v>0</v>
      </c>
      <c r="B46">
        <f>社群与职业!H12</f>
        <v>0</v>
      </c>
      <c r="C46">
        <f>社群与职业!M12</f>
        <v>0</v>
      </c>
    </row>
    <row r="47" customHeight="1" spans="1:3">
      <c r="A47">
        <f>社群与职业!F14</f>
        <v>0</v>
      </c>
      <c r="B47">
        <f>社群与职业!H14</f>
        <v>0</v>
      </c>
      <c r="C47">
        <f>社群与职业!M14</f>
        <v>0</v>
      </c>
    </row>
    <row r="48" customHeight="1" spans="1:3">
      <c r="A48">
        <f>社群与职业!F16</f>
        <v>0</v>
      </c>
      <c r="B48">
        <f>社群与职业!H16</f>
        <v>0</v>
      </c>
      <c r="C48">
        <f>社群与职业!M16</f>
        <v>0</v>
      </c>
    </row>
    <row r="49" customHeight="1" spans="1:3">
      <c r="A49">
        <f>社群与职业!F18</f>
        <v>0</v>
      </c>
      <c r="B49">
        <f>社群与职业!H18</f>
        <v>0</v>
      </c>
      <c r="C49">
        <f>社群与职业!M18</f>
        <v>0</v>
      </c>
    </row>
    <row r="50" customHeight="1" spans="1:3">
      <c r="A50">
        <f>社群与职业!F20</f>
        <v>0</v>
      </c>
      <c r="B50">
        <f>社群与职业!H20</f>
        <v>0</v>
      </c>
      <c r="C50">
        <f>社群与职业!M20</f>
        <v>0</v>
      </c>
    </row>
    <row r="51" customHeight="1" spans="1:3">
      <c r="A51">
        <f>社群与职业!F22</f>
        <v>0</v>
      </c>
      <c r="B51">
        <f>社群与职业!H22</f>
        <v>0</v>
      </c>
      <c r="C51">
        <f>社群与职业!M22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ref="A29:B34">
    <sortCondition ref="A29:A34"/>
  </sortState>
  <mergeCells count="169">
    <mergeCell ref="A1:D1"/>
    <mergeCell ref="F1:K1"/>
    <mergeCell ref="M1:Q1"/>
    <mergeCell ref="R1:U1"/>
    <mergeCell ref="X1:Y1"/>
    <mergeCell ref="Z1:AA1"/>
    <mergeCell ref="AB1:AC1"/>
    <mergeCell ref="AD1:AE1"/>
    <mergeCell ref="AF1:AG1"/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X10:Y10"/>
    <mergeCell ref="Z10:AA10"/>
    <mergeCell ref="AB10:AC10"/>
    <mergeCell ref="AD10:AE10"/>
    <mergeCell ref="AF10:AG10"/>
    <mergeCell ref="AH10:AI10"/>
    <mergeCell ref="M11:U11"/>
    <mergeCell ref="X11:Y11"/>
    <mergeCell ref="Z11:AA11"/>
    <mergeCell ref="AB11:AC11"/>
    <mergeCell ref="AD11:AE11"/>
    <mergeCell ref="AF11:AG11"/>
    <mergeCell ref="AH11:AI11"/>
    <mergeCell ref="M12:O12"/>
    <mergeCell ref="P12:R12"/>
    <mergeCell ref="S12:T12"/>
    <mergeCell ref="X12:Y12"/>
    <mergeCell ref="Z12:AA12"/>
    <mergeCell ref="AB12:AC12"/>
    <mergeCell ref="AD12:AE12"/>
    <mergeCell ref="AF12:AG12"/>
    <mergeCell ref="AH12:AI12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AH13:AI13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AH14:AI14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AF15:AG15"/>
    <mergeCell ref="AH15:AI15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AH16:AI16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N19:O19"/>
    <mergeCell ref="Q19:R19"/>
    <mergeCell ref="T19:U19"/>
    <mergeCell ref="X19:Y19"/>
    <mergeCell ref="Z19:AA19"/>
    <mergeCell ref="AB19:AC19"/>
    <mergeCell ref="AD19:AE19"/>
    <mergeCell ref="AF19:AG19"/>
    <mergeCell ref="AH19:AI19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  <mergeCell ref="Q22:R22"/>
    <mergeCell ref="T22:U22"/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W11:W19"/>
    <mergeCell ref="B9:D12"/>
    <mergeCell ref="B18:D20"/>
    <mergeCell ref="B21:D23"/>
  </mergeCells>
  <dataValidations count="4">
    <dataValidation type="list" allowBlank="1" showInputMessage="1" showErrorMessage="1" sqref="P12:R12">
      <formula1>武器!$A$19:$A$20</formula1>
    </dataValidation>
    <dataValidation type="list" allowBlank="1" showInputMessage="1" showErrorMessage="1" sqref="J21:K21 AH10:AH21 AI11:AI21">
      <formula1>$D$29:$D$30</formula1>
    </dataValidation>
    <dataValidation type="list" allowBlank="1" showInputMessage="1" showErrorMessage="1" sqref="B17:D17">
      <formula1>$A$42:$A$51</formula1>
    </dataValidation>
    <dataValidation allowBlank="1" showInputMessage="1" showErrorMessage="1" sqref="A18:A20"/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W32"/>
  <sheetViews>
    <sheetView workbookViewId="0">
      <selection activeCell="M9" sqref="M9"/>
    </sheetView>
  </sheetViews>
  <sheetFormatPr defaultColWidth="9" defaultRowHeight="20.4" customHeight="1"/>
  <sheetData>
    <row r="1" customHeight="1" spans="1:23">
      <c r="A1" s="182" t="s">
        <v>122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N1" s="189" t="s">
        <v>123</v>
      </c>
      <c r="O1" s="189"/>
      <c r="P1" s="189"/>
      <c r="Q1" s="189"/>
      <c r="R1" s="189"/>
      <c r="S1" s="189"/>
      <c r="T1" s="189"/>
      <c r="U1" s="189"/>
      <c r="V1" s="189"/>
      <c r="W1" s="189"/>
    </row>
    <row r="2" customHeight="1" spans="1:2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N2" s="189"/>
      <c r="O2" s="189"/>
      <c r="P2" s="189"/>
      <c r="Q2" s="189"/>
      <c r="R2" s="189"/>
      <c r="S2" s="189"/>
      <c r="T2" s="189"/>
      <c r="U2" s="189"/>
      <c r="V2" s="189"/>
      <c r="W2" s="189"/>
    </row>
    <row r="3" customHeight="1" spans="1:23">
      <c r="A3" s="183" t="s">
        <v>124</v>
      </c>
      <c r="B3" s="183"/>
      <c r="C3" s="183"/>
      <c r="D3" s="183"/>
      <c r="E3" s="184">
        <f>SUMIF(E9:H591,"&gt;=0",E9:H591)</f>
        <v>5</v>
      </c>
      <c r="F3" s="184"/>
      <c r="G3" s="184"/>
      <c r="H3" s="184"/>
      <c r="I3" s="184"/>
      <c r="J3" s="184"/>
      <c r="K3" s="184"/>
      <c r="L3" s="184"/>
      <c r="N3" s="190" t="s">
        <v>125</v>
      </c>
      <c r="O3" s="190"/>
      <c r="P3" s="190"/>
      <c r="Q3" s="190"/>
      <c r="R3" s="190"/>
      <c r="S3" s="190"/>
      <c r="T3" s="190"/>
      <c r="U3" s="190"/>
      <c r="V3" s="190"/>
      <c r="W3" s="190"/>
    </row>
    <row r="4" customHeight="1" spans="1:23">
      <c r="A4" s="185"/>
      <c r="B4" s="185"/>
      <c r="C4" s="185"/>
      <c r="D4" s="185"/>
      <c r="E4" s="186"/>
      <c r="F4" s="186"/>
      <c r="G4" s="186"/>
      <c r="H4" s="186"/>
      <c r="I4" s="186"/>
      <c r="J4" s="186"/>
      <c r="K4" s="186"/>
      <c r="L4" s="186"/>
      <c r="N4" s="190"/>
      <c r="O4" s="190"/>
      <c r="P4" s="190"/>
      <c r="Q4" s="190"/>
      <c r="R4" s="190"/>
      <c r="S4" s="190"/>
      <c r="T4" s="190"/>
      <c r="U4" s="190"/>
      <c r="V4" s="190"/>
      <c r="W4" s="190"/>
    </row>
    <row r="5" customHeight="1" spans="1:23">
      <c r="A5" s="183" t="s">
        <v>126</v>
      </c>
      <c r="B5" s="183"/>
      <c r="C5" s="183"/>
      <c r="D5" s="184">
        <f>E3-J5</f>
        <v>5</v>
      </c>
      <c r="E5" s="184"/>
      <c r="F5" s="184"/>
      <c r="G5" s="183" t="s">
        <v>127</v>
      </c>
      <c r="H5" s="183"/>
      <c r="I5" s="183"/>
      <c r="J5" s="184">
        <f>E11</f>
        <v>0</v>
      </c>
      <c r="K5" s="184"/>
      <c r="L5" s="184"/>
      <c r="N5" s="190"/>
      <c r="O5" s="190"/>
      <c r="P5" s="190"/>
      <c r="Q5" s="190"/>
      <c r="R5" s="190"/>
      <c r="S5" s="190"/>
      <c r="T5" s="190"/>
      <c r="U5" s="190"/>
      <c r="V5" s="190"/>
      <c r="W5" s="190"/>
    </row>
    <row r="6" customHeight="1" spans="1:23">
      <c r="A6" s="185"/>
      <c r="B6" s="185"/>
      <c r="C6" s="185"/>
      <c r="D6" s="186"/>
      <c r="E6" s="186"/>
      <c r="F6" s="186"/>
      <c r="G6" s="185"/>
      <c r="H6" s="185"/>
      <c r="I6" s="185"/>
      <c r="J6" s="186"/>
      <c r="K6" s="186"/>
      <c r="L6" s="186"/>
      <c r="N6" s="190"/>
      <c r="O6" s="190"/>
      <c r="P6" s="190"/>
      <c r="Q6" s="190"/>
      <c r="R6" s="190"/>
      <c r="S6" s="190"/>
      <c r="T6" s="190"/>
      <c r="U6" s="190"/>
      <c r="V6" s="190"/>
      <c r="W6" s="190"/>
    </row>
    <row r="7" customHeight="1" spans="1:23">
      <c r="A7" s="184" t="s">
        <v>128</v>
      </c>
      <c r="B7" s="184"/>
      <c r="C7" s="184"/>
      <c r="D7" s="184"/>
      <c r="E7" s="184" t="s">
        <v>129</v>
      </c>
      <c r="F7" s="184"/>
      <c r="G7" s="184"/>
      <c r="H7" s="184"/>
      <c r="I7" s="184" t="s">
        <v>130</v>
      </c>
      <c r="J7" s="184"/>
      <c r="K7" s="184"/>
      <c r="L7" s="184"/>
      <c r="N7" s="190"/>
      <c r="O7" s="190"/>
      <c r="P7" s="190"/>
      <c r="Q7" s="190"/>
      <c r="R7" s="190"/>
      <c r="S7" s="190"/>
      <c r="T7" s="190"/>
      <c r="U7" s="190"/>
      <c r="V7" s="190"/>
      <c r="W7" s="190"/>
    </row>
    <row r="8" customHeight="1" spans="1:23">
      <c r="A8" s="186"/>
      <c r="B8" s="186"/>
      <c r="C8" s="186"/>
      <c r="D8" s="186"/>
      <c r="E8" s="186"/>
      <c r="F8" s="186"/>
      <c r="G8" s="186"/>
      <c r="H8" s="186"/>
      <c r="I8" s="186"/>
      <c r="J8" s="186"/>
      <c r="K8" s="186"/>
      <c r="L8" s="186"/>
      <c r="N8" s="190"/>
      <c r="O8" s="190"/>
      <c r="P8" s="190"/>
      <c r="Q8" s="190"/>
      <c r="R8" s="190"/>
      <c r="S8" s="190"/>
      <c r="T8" s="190"/>
      <c r="U8" s="190"/>
      <c r="V8" s="190"/>
      <c r="W8" s="190"/>
    </row>
    <row r="9" customHeight="1" spans="1:23">
      <c r="A9" s="187" t="s">
        <v>131</v>
      </c>
      <c r="B9" s="187"/>
      <c r="C9" s="187"/>
      <c r="D9" s="187"/>
      <c r="E9" s="187">
        <v>5</v>
      </c>
      <c r="F9" s="187"/>
      <c r="G9" s="187"/>
      <c r="H9" s="187"/>
      <c r="I9" s="187">
        <f>E9</f>
        <v>5</v>
      </c>
      <c r="J9" s="187"/>
      <c r="K9" s="187"/>
      <c r="L9" s="187"/>
      <c r="N9" s="190"/>
      <c r="O9" s="190"/>
      <c r="P9" s="190"/>
      <c r="Q9" s="190"/>
      <c r="R9" s="190"/>
      <c r="S9" s="190"/>
      <c r="T9" s="190"/>
      <c r="U9" s="190"/>
      <c r="V9" s="190"/>
      <c r="W9" s="190"/>
    </row>
    <row r="10" customHeight="1" spans="1:23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N10" s="190"/>
      <c r="O10" s="190"/>
      <c r="P10" s="190"/>
      <c r="Q10" s="190"/>
      <c r="R10" s="190"/>
      <c r="S10" s="190"/>
      <c r="T10" s="190"/>
      <c r="U10" s="190"/>
      <c r="V10" s="190"/>
      <c r="W10" s="190"/>
    </row>
    <row r="11" customHeight="1" spans="1:23">
      <c r="A11" s="187" t="s">
        <v>132</v>
      </c>
      <c r="B11" s="187"/>
      <c r="C11" s="187"/>
      <c r="D11" s="187"/>
      <c r="E11" s="187">
        <v>0</v>
      </c>
      <c r="F11" s="187"/>
      <c r="G11" s="187"/>
      <c r="H11" s="187"/>
      <c r="I11" s="187">
        <f>E11+I9</f>
        <v>5</v>
      </c>
      <c r="J11" s="187"/>
      <c r="K11" s="187"/>
      <c r="L11" s="187"/>
      <c r="N11" s="190"/>
      <c r="O11" s="190"/>
      <c r="P11" s="190"/>
      <c r="Q11" s="190"/>
      <c r="R11" s="190"/>
      <c r="S11" s="190"/>
      <c r="T11" s="190"/>
      <c r="U11" s="190"/>
      <c r="V11" s="190"/>
      <c r="W11" s="190"/>
    </row>
    <row r="12" customHeight="1" spans="1:23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N12" s="190"/>
      <c r="O12" s="190"/>
      <c r="P12" s="190"/>
      <c r="Q12" s="190"/>
      <c r="R12" s="190"/>
      <c r="S12" s="190"/>
      <c r="T12" s="190"/>
      <c r="U12" s="190"/>
      <c r="V12" s="190"/>
      <c r="W12" s="190"/>
    </row>
    <row r="13" customHeight="1" spans="1:23">
      <c r="A13" s="187" t="s">
        <v>133</v>
      </c>
      <c r="B13" s="187"/>
      <c r="C13" s="187"/>
      <c r="D13" s="187"/>
      <c r="E13" s="187">
        <v>0</v>
      </c>
      <c r="F13" s="187"/>
      <c r="G13" s="187"/>
      <c r="H13" s="187"/>
      <c r="I13" s="187">
        <f t="shared" ref="I13" si="0">E13+I11</f>
        <v>5</v>
      </c>
      <c r="J13" s="187"/>
      <c r="K13" s="187"/>
      <c r="L13" s="187"/>
      <c r="N13" s="190"/>
      <c r="O13" s="190"/>
      <c r="P13" s="190"/>
      <c r="Q13" s="190"/>
      <c r="R13" s="190"/>
      <c r="S13" s="190"/>
      <c r="T13" s="190"/>
      <c r="U13" s="190"/>
      <c r="V13" s="190"/>
      <c r="W13" s="190"/>
    </row>
    <row r="14" customHeight="1" spans="1:23">
      <c r="A14" s="188"/>
      <c r="B14" s="188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N14" s="190"/>
      <c r="O14" s="190"/>
      <c r="P14" s="190"/>
      <c r="Q14" s="190"/>
      <c r="R14" s="190"/>
      <c r="S14" s="190"/>
      <c r="T14" s="190"/>
      <c r="U14" s="190"/>
      <c r="V14" s="190"/>
      <c r="W14" s="190"/>
    </row>
    <row r="15" customHeight="1" spans="1:23">
      <c r="A15" s="187" t="s">
        <v>134</v>
      </c>
      <c r="B15" s="187"/>
      <c r="C15" s="187"/>
      <c r="D15" s="187"/>
      <c r="E15" s="187">
        <v>-3</v>
      </c>
      <c r="F15" s="187"/>
      <c r="G15" s="187"/>
      <c r="H15" s="187"/>
      <c r="I15" s="187">
        <f t="shared" ref="I15" si="1">E15+I13</f>
        <v>2</v>
      </c>
      <c r="J15" s="187"/>
      <c r="K15" s="187"/>
      <c r="L15" s="187"/>
      <c r="N15" s="190"/>
      <c r="O15" s="190"/>
      <c r="P15" s="190"/>
      <c r="Q15" s="190"/>
      <c r="R15" s="190"/>
      <c r="S15" s="190"/>
      <c r="T15" s="190"/>
      <c r="U15" s="190"/>
      <c r="V15" s="190"/>
      <c r="W15" s="190"/>
    </row>
    <row r="16" customHeight="1" spans="1:23">
      <c r="A16" s="188"/>
      <c r="B16" s="188"/>
      <c r="C16" s="188"/>
      <c r="D16" s="188"/>
      <c r="E16" s="188"/>
      <c r="F16" s="188"/>
      <c r="G16" s="188"/>
      <c r="H16" s="188"/>
      <c r="I16" s="188"/>
      <c r="J16" s="188"/>
      <c r="K16" s="188"/>
      <c r="L16" s="188"/>
      <c r="N16" s="190"/>
      <c r="O16" s="190"/>
      <c r="P16" s="190"/>
      <c r="Q16" s="190"/>
      <c r="R16" s="190"/>
      <c r="S16" s="190"/>
      <c r="T16" s="190"/>
      <c r="U16" s="190"/>
      <c r="V16" s="190"/>
      <c r="W16" s="190"/>
    </row>
    <row r="17" customHeight="1" spans="1:23">
      <c r="A17" s="187" t="s">
        <v>135</v>
      </c>
      <c r="B17" s="187"/>
      <c r="C17" s="187"/>
      <c r="D17" s="187"/>
      <c r="E17" s="187">
        <v>-2</v>
      </c>
      <c r="F17" s="187"/>
      <c r="G17" s="187"/>
      <c r="H17" s="187"/>
      <c r="I17" s="187">
        <f t="shared" ref="I17" si="2">E17+I15</f>
        <v>0</v>
      </c>
      <c r="J17" s="187"/>
      <c r="K17" s="187"/>
      <c r="L17" s="187"/>
      <c r="N17" s="190"/>
      <c r="O17" s="190"/>
      <c r="P17" s="190"/>
      <c r="Q17" s="190"/>
      <c r="R17" s="190"/>
      <c r="S17" s="190"/>
      <c r="T17" s="190"/>
      <c r="U17" s="190"/>
      <c r="V17" s="190"/>
      <c r="W17" s="190"/>
    </row>
    <row r="18" customHeight="1" spans="1:23">
      <c r="A18" s="188"/>
      <c r="B18" s="188"/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N18" s="190"/>
      <c r="O18" s="190"/>
      <c r="P18" s="190"/>
      <c r="Q18" s="190"/>
      <c r="R18" s="190"/>
      <c r="S18" s="190"/>
      <c r="T18" s="190"/>
      <c r="U18" s="190"/>
      <c r="V18" s="190"/>
      <c r="W18" s="190"/>
    </row>
    <row r="19" customHeight="1" spans="1:23">
      <c r="A19" s="187"/>
      <c r="B19" s="187"/>
      <c r="C19" s="187"/>
      <c r="D19" s="187"/>
      <c r="E19" s="187"/>
      <c r="F19" s="187"/>
      <c r="G19" s="187"/>
      <c r="H19" s="187"/>
      <c r="I19" s="187">
        <f t="shared" ref="I19" si="3">E19+I17</f>
        <v>0</v>
      </c>
      <c r="J19" s="187"/>
      <c r="K19" s="187"/>
      <c r="L19" s="187"/>
      <c r="N19" s="190"/>
      <c r="O19" s="190"/>
      <c r="P19" s="190"/>
      <c r="Q19" s="190"/>
      <c r="R19" s="190"/>
      <c r="S19" s="190"/>
      <c r="T19" s="190"/>
      <c r="U19" s="190"/>
      <c r="V19" s="190"/>
      <c r="W19" s="190"/>
    </row>
    <row r="20" customHeight="1" spans="1:23">
      <c r="A20" s="188"/>
      <c r="B20" s="188"/>
      <c r="C20" s="188"/>
      <c r="D20" s="188"/>
      <c r="E20" s="188"/>
      <c r="F20" s="188"/>
      <c r="G20" s="188"/>
      <c r="H20" s="188"/>
      <c r="I20" s="188"/>
      <c r="J20" s="188"/>
      <c r="K20" s="188"/>
      <c r="L20" s="188"/>
      <c r="N20" s="190"/>
      <c r="O20" s="190"/>
      <c r="P20" s="190"/>
      <c r="Q20" s="190"/>
      <c r="R20" s="190"/>
      <c r="S20" s="190"/>
      <c r="T20" s="190"/>
      <c r="U20" s="190"/>
      <c r="V20" s="190"/>
      <c r="W20" s="190"/>
    </row>
    <row r="21" customHeight="1" spans="1:23">
      <c r="A21" s="187"/>
      <c r="B21" s="187"/>
      <c r="C21" s="187"/>
      <c r="D21" s="187"/>
      <c r="E21" s="187"/>
      <c r="F21" s="187"/>
      <c r="G21" s="187"/>
      <c r="H21" s="187"/>
      <c r="I21" s="187">
        <f t="shared" ref="I21" si="4">E21+I19</f>
        <v>0</v>
      </c>
      <c r="J21" s="187"/>
      <c r="K21" s="187"/>
      <c r="L21" s="187"/>
      <c r="N21" s="190"/>
      <c r="O21" s="190"/>
      <c r="P21" s="190"/>
      <c r="Q21" s="190"/>
      <c r="R21" s="190"/>
      <c r="S21" s="190"/>
      <c r="T21" s="190"/>
      <c r="U21" s="190"/>
      <c r="V21" s="190"/>
      <c r="W21" s="190"/>
    </row>
    <row r="22" customHeight="1" spans="1:23">
      <c r="A22" s="188"/>
      <c r="B22" s="188"/>
      <c r="C22" s="188"/>
      <c r="D22" s="188"/>
      <c r="E22" s="188"/>
      <c r="F22" s="188"/>
      <c r="G22" s="188"/>
      <c r="H22" s="188"/>
      <c r="I22" s="188"/>
      <c r="J22" s="188"/>
      <c r="K22" s="188"/>
      <c r="L22" s="188"/>
      <c r="N22" s="190"/>
      <c r="O22" s="190"/>
      <c r="P22" s="190"/>
      <c r="Q22" s="190"/>
      <c r="R22" s="190"/>
      <c r="S22" s="190"/>
      <c r="T22" s="190"/>
      <c r="U22" s="190"/>
      <c r="V22" s="190"/>
      <c r="W22" s="190"/>
    </row>
    <row r="23" customHeight="1" spans="1:23">
      <c r="A23" s="187"/>
      <c r="B23" s="187"/>
      <c r="C23" s="187"/>
      <c r="D23" s="187"/>
      <c r="E23" s="187"/>
      <c r="F23" s="187"/>
      <c r="G23" s="187"/>
      <c r="H23" s="187"/>
      <c r="I23" s="187">
        <f t="shared" ref="I23" si="5">E23+I21</f>
        <v>0</v>
      </c>
      <c r="J23" s="187"/>
      <c r="K23" s="187"/>
      <c r="L23" s="187"/>
      <c r="N23" s="190"/>
      <c r="O23" s="190"/>
      <c r="P23" s="190"/>
      <c r="Q23" s="190"/>
      <c r="R23" s="190"/>
      <c r="S23" s="190"/>
      <c r="T23" s="190"/>
      <c r="U23" s="190"/>
      <c r="V23" s="190"/>
      <c r="W23" s="190"/>
    </row>
    <row r="24" customHeight="1" spans="1:23">
      <c r="A24" s="188"/>
      <c r="B24" s="188"/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N24" s="190"/>
      <c r="O24" s="190"/>
      <c r="P24" s="190"/>
      <c r="Q24" s="190"/>
      <c r="R24" s="190"/>
      <c r="S24" s="190"/>
      <c r="T24" s="190"/>
      <c r="U24" s="190"/>
      <c r="V24" s="190"/>
      <c r="W24" s="190"/>
    </row>
    <row r="25" customHeight="1" spans="1:23">
      <c r="A25" s="187"/>
      <c r="B25" s="187"/>
      <c r="C25" s="187"/>
      <c r="D25" s="187"/>
      <c r="E25" s="187"/>
      <c r="F25" s="187"/>
      <c r="G25" s="187"/>
      <c r="H25" s="187"/>
      <c r="I25" s="187">
        <f t="shared" ref="I25" si="6">E25+I23</f>
        <v>0</v>
      </c>
      <c r="J25" s="187"/>
      <c r="K25" s="187"/>
      <c r="L25" s="187"/>
      <c r="N25" s="190"/>
      <c r="O25" s="190"/>
      <c r="P25" s="190"/>
      <c r="Q25" s="190"/>
      <c r="R25" s="190"/>
      <c r="S25" s="190"/>
      <c r="T25" s="190"/>
      <c r="U25" s="190"/>
      <c r="V25" s="190"/>
      <c r="W25" s="190"/>
    </row>
    <row r="26" customHeight="1" spans="1:23">
      <c r="A26" s="188"/>
      <c r="B26" s="188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N26" s="190"/>
      <c r="O26" s="190"/>
      <c r="P26" s="190"/>
      <c r="Q26" s="190"/>
      <c r="R26" s="190"/>
      <c r="S26" s="190"/>
      <c r="T26" s="190"/>
      <c r="U26" s="190"/>
      <c r="V26" s="190"/>
      <c r="W26" s="190"/>
    </row>
    <row r="27" customHeight="1" spans="1:23">
      <c r="A27" s="187"/>
      <c r="B27" s="187"/>
      <c r="C27" s="187"/>
      <c r="D27" s="187"/>
      <c r="E27" s="187"/>
      <c r="F27" s="187"/>
      <c r="G27" s="187"/>
      <c r="H27" s="187"/>
      <c r="I27" s="187">
        <f t="shared" ref="I27" si="7">E27+I25</f>
        <v>0</v>
      </c>
      <c r="J27" s="187"/>
      <c r="K27" s="187"/>
      <c r="L27" s="187"/>
      <c r="N27" s="190"/>
      <c r="O27" s="190"/>
      <c r="P27" s="190"/>
      <c r="Q27" s="190"/>
      <c r="R27" s="190"/>
      <c r="S27" s="190"/>
      <c r="T27" s="190"/>
      <c r="U27" s="190"/>
      <c r="V27" s="190"/>
      <c r="W27" s="190"/>
    </row>
    <row r="28" customHeight="1" spans="1:23">
      <c r="A28" s="188"/>
      <c r="B28" s="188"/>
      <c r="C28" s="188"/>
      <c r="D28" s="188"/>
      <c r="E28" s="188"/>
      <c r="F28" s="188"/>
      <c r="G28" s="188"/>
      <c r="H28" s="188"/>
      <c r="I28" s="188"/>
      <c r="J28" s="188"/>
      <c r="K28" s="188"/>
      <c r="L28" s="188"/>
      <c r="N28" s="190"/>
      <c r="O28" s="190"/>
      <c r="P28" s="190"/>
      <c r="Q28" s="190"/>
      <c r="R28" s="190"/>
      <c r="S28" s="190"/>
      <c r="T28" s="190"/>
      <c r="U28" s="190"/>
      <c r="V28" s="190"/>
      <c r="W28" s="190"/>
    </row>
    <row r="29" customHeight="1" spans="1:23">
      <c r="A29" s="187"/>
      <c r="B29" s="187"/>
      <c r="C29" s="187"/>
      <c r="D29" s="187"/>
      <c r="E29" s="187"/>
      <c r="F29" s="187"/>
      <c r="G29" s="187"/>
      <c r="H29" s="187"/>
      <c r="I29" s="187">
        <f t="shared" ref="I29" si="8">E29+I27</f>
        <v>0</v>
      </c>
      <c r="J29" s="187"/>
      <c r="K29" s="187"/>
      <c r="L29" s="187"/>
      <c r="N29" s="190"/>
      <c r="O29" s="190"/>
      <c r="P29" s="190"/>
      <c r="Q29" s="190"/>
      <c r="R29" s="190"/>
      <c r="S29" s="190"/>
      <c r="T29" s="190"/>
      <c r="U29" s="190"/>
      <c r="V29" s="190"/>
      <c r="W29" s="190"/>
    </row>
    <row r="30" customHeight="1" spans="1:23">
      <c r="A30" s="188"/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N30" s="190"/>
      <c r="O30" s="190"/>
      <c r="P30" s="190"/>
      <c r="Q30" s="190"/>
      <c r="R30" s="190"/>
      <c r="S30" s="190"/>
      <c r="T30" s="190"/>
      <c r="U30" s="190"/>
      <c r="V30" s="190"/>
      <c r="W30" s="190"/>
    </row>
    <row r="32" customHeight="1" spans="9:15">
      <c r="I32" s="180"/>
      <c r="J32" s="180"/>
      <c r="K32" s="180"/>
      <c r="L32" s="180"/>
      <c r="M32" s="180"/>
      <c r="N32" s="180"/>
      <c r="O32" s="180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1:L2"/>
    <mergeCell ref="N1:W2"/>
    <mergeCell ref="A9:D10"/>
    <mergeCell ref="E9:H10"/>
    <mergeCell ref="I9:L10"/>
    <mergeCell ref="A13:D14"/>
    <mergeCell ref="E13:H14"/>
    <mergeCell ref="I13:L14"/>
    <mergeCell ref="A15:D16"/>
    <mergeCell ref="E15:H16"/>
    <mergeCell ref="I15:L16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29:D30"/>
    <mergeCell ref="E29:H30"/>
    <mergeCell ref="I29:L30"/>
    <mergeCell ref="A27:D28"/>
    <mergeCell ref="E27:H28"/>
    <mergeCell ref="I27:L28"/>
    <mergeCell ref="A23:D24"/>
    <mergeCell ref="E23:H24"/>
    <mergeCell ref="I23:L24"/>
    <mergeCell ref="A25:D26"/>
    <mergeCell ref="E25:H26"/>
    <mergeCell ref="I25:L26"/>
    <mergeCell ref="A5:C6"/>
    <mergeCell ref="D5:F6"/>
    <mergeCell ref="G5:I6"/>
    <mergeCell ref="J5:L6"/>
    <mergeCell ref="A3:D4"/>
    <mergeCell ref="E3:L4"/>
  </mergeCell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E26"/>
  <sheetViews>
    <sheetView workbookViewId="0">
      <selection activeCell="A1" sqref="A1:G2"/>
    </sheetView>
  </sheetViews>
  <sheetFormatPr defaultColWidth="9" defaultRowHeight="20.4" customHeight="1"/>
  <sheetData>
    <row r="1" customHeight="1" spans="1:31">
      <c r="A1" s="178" t="s">
        <v>136</v>
      </c>
      <c r="B1" s="178"/>
      <c r="C1" s="178"/>
      <c r="D1" s="178"/>
      <c r="E1" s="178"/>
      <c r="F1" s="178"/>
      <c r="G1" s="178"/>
      <c r="H1" s="179"/>
      <c r="I1" s="178" t="s">
        <v>137</v>
      </c>
      <c r="J1" s="178"/>
      <c r="K1" s="178"/>
      <c r="L1" s="178"/>
      <c r="M1" s="178"/>
      <c r="N1" s="178"/>
      <c r="O1" s="178"/>
      <c r="P1" s="179"/>
      <c r="Q1" s="178" t="s">
        <v>138</v>
      </c>
      <c r="R1" s="178"/>
      <c r="S1" s="178"/>
      <c r="T1" s="178"/>
      <c r="U1" s="178"/>
      <c r="V1" s="178"/>
      <c r="W1" s="178"/>
      <c r="X1" s="179"/>
      <c r="Y1" s="178" t="s">
        <v>139</v>
      </c>
      <c r="Z1" s="178"/>
      <c r="AA1" s="178"/>
      <c r="AB1" s="178"/>
      <c r="AC1" s="178"/>
      <c r="AD1" s="178"/>
      <c r="AE1" s="178"/>
    </row>
    <row r="2" customHeight="1" spans="1:31">
      <c r="A2" s="178"/>
      <c r="B2" s="178"/>
      <c r="C2" s="178"/>
      <c r="D2" s="178"/>
      <c r="E2" s="178"/>
      <c r="F2" s="178"/>
      <c r="G2" s="178"/>
      <c r="H2" s="179"/>
      <c r="I2" s="178"/>
      <c r="J2" s="178"/>
      <c r="K2" s="178"/>
      <c r="L2" s="178"/>
      <c r="M2" s="178"/>
      <c r="N2" s="178"/>
      <c r="O2" s="178"/>
      <c r="P2" s="179"/>
      <c r="Q2" s="178"/>
      <c r="R2" s="178"/>
      <c r="S2" s="178"/>
      <c r="T2" s="178"/>
      <c r="U2" s="178"/>
      <c r="V2" s="178"/>
      <c r="W2" s="178"/>
      <c r="X2" s="179"/>
      <c r="Y2" s="178"/>
      <c r="Z2" s="178"/>
      <c r="AA2" s="178"/>
      <c r="AB2" s="178"/>
      <c r="AC2" s="178"/>
      <c r="AD2" s="178"/>
      <c r="AE2" s="178"/>
    </row>
    <row r="3" customHeight="1" spans="1:31">
      <c r="A3" s="177" t="s">
        <v>140</v>
      </c>
      <c r="B3" s="177"/>
      <c r="C3" s="177"/>
      <c r="D3" s="177"/>
      <c r="E3" s="177"/>
      <c r="F3" s="177"/>
      <c r="G3" s="177"/>
      <c r="I3" s="177"/>
      <c r="J3" s="177"/>
      <c r="K3" s="177"/>
      <c r="L3" s="177"/>
      <c r="M3" s="177"/>
      <c r="N3" s="177"/>
      <c r="O3" s="177"/>
      <c r="Q3" s="181" t="s">
        <v>113</v>
      </c>
      <c r="R3" s="181"/>
      <c r="S3" s="181"/>
      <c r="T3" s="78">
        <v>0</v>
      </c>
      <c r="U3" s="78"/>
      <c r="V3" s="78"/>
      <c r="W3" s="78"/>
      <c r="Y3" s="177"/>
      <c r="Z3" s="177"/>
      <c r="AA3" s="177"/>
      <c r="AB3" s="177"/>
      <c r="AC3" s="177"/>
      <c r="AD3" s="177"/>
      <c r="AE3" s="177"/>
    </row>
    <row r="4" customHeight="1" spans="1:31">
      <c r="A4" s="177"/>
      <c r="B4" s="177"/>
      <c r="C4" s="177"/>
      <c r="D4" s="177"/>
      <c r="E4" s="177"/>
      <c r="F4" s="177"/>
      <c r="G4" s="177"/>
      <c r="I4" s="177"/>
      <c r="J4" s="177"/>
      <c r="K4" s="177"/>
      <c r="L4" s="177"/>
      <c r="M4" s="177"/>
      <c r="N4" s="177"/>
      <c r="O4" s="177"/>
      <c r="Q4" s="181"/>
      <c r="R4" s="181"/>
      <c r="S4" s="181"/>
      <c r="T4" s="78"/>
      <c r="U4" s="78"/>
      <c r="V4" s="78"/>
      <c r="W4" s="78"/>
      <c r="Y4" s="177"/>
      <c r="Z4" s="177"/>
      <c r="AA4" s="177"/>
      <c r="AB4" s="177"/>
      <c r="AC4" s="177"/>
      <c r="AD4" s="177"/>
      <c r="AE4" s="177"/>
    </row>
    <row r="5" customHeight="1" spans="1:31">
      <c r="A5" s="177"/>
      <c r="B5" s="177"/>
      <c r="C5" s="177"/>
      <c r="D5" s="177"/>
      <c r="E5" s="177"/>
      <c r="F5" s="177"/>
      <c r="G5" s="177"/>
      <c r="I5" s="177"/>
      <c r="J5" s="177"/>
      <c r="K5" s="177"/>
      <c r="L5" s="177"/>
      <c r="M5" s="177"/>
      <c r="N5" s="177"/>
      <c r="O5" s="177"/>
      <c r="Q5" s="181" t="s">
        <v>141</v>
      </c>
      <c r="R5" s="181"/>
      <c r="S5" s="181"/>
      <c r="T5" s="78" t="s">
        <v>142</v>
      </c>
      <c r="U5" s="78"/>
      <c r="V5" s="78"/>
      <c r="W5" s="78"/>
      <c r="Y5" s="177"/>
      <c r="Z5" s="177"/>
      <c r="AA5" s="177"/>
      <c r="AB5" s="177"/>
      <c r="AC5" s="177"/>
      <c r="AD5" s="177"/>
      <c r="AE5" s="177"/>
    </row>
    <row r="6" customHeight="1" spans="1:31">
      <c r="A6" s="177"/>
      <c r="B6" s="177"/>
      <c r="C6" s="177"/>
      <c r="D6" s="177"/>
      <c r="E6" s="177"/>
      <c r="F6" s="177"/>
      <c r="G6" s="177"/>
      <c r="I6" s="177"/>
      <c r="J6" s="177"/>
      <c r="K6" s="177"/>
      <c r="L6" s="177"/>
      <c r="M6" s="177"/>
      <c r="N6" s="177"/>
      <c r="O6" s="177"/>
      <c r="Q6" s="181"/>
      <c r="R6" s="181"/>
      <c r="S6" s="181"/>
      <c r="T6" s="78"/>
      <c r="U6" s="78"/>
      <c r="V6" s="78"/>
      <c r="W6" s="78"/>
      <c r="Y6" s="177"/>
      <c r="Z6" s="177"/>
      <c r="AA6" s="177"/>
      <c r="AB6" s="177"/>
      <c r="AC6" s="177"/>
      <c r="AD6" s="177"/>
      <c r="AE6" s="177"/>
    </row>
    <row r="7" customHeight="1" spans="1:31">
      <c r="A7" s="177"/>
      <c r="B7" s="177"/>
      <c r="C7" s="177"/>
      <c r="D7" s="177"/>
      <c r="E7" s="177"/>
      <c r="F7" s="177"/>
      <c r="G7" s="177"/>
      <c r="I7" s="177"/>
      <c r="J7" s="177"/>
      <c r="K7" s="177"/>
      <c r="L7" s="177"/>
      <c r="M7" s="177"/>
      <c r="N7" s="177"/>
      <c r="O7" s="177"/>
      <c r="Q7" s="181" t="s">
        <v>143</v>
      </c>
      <c r="R7" s="181"/>
      <c r="S7" s="181"/>
      <c r="T7" s="78" t="s">
        <v>144</v>
      </c>
      <c r="U7" s="78"/>
      <c r="V7" s="78"/>
      <c r="W7" s="78"/>
      <c r="Y7" s="177"/>
      <c r="Z7" s="177"/>
      <c r="AA7" s="177"/>
      <c r="AB7" s="177"/>
      <c r="AC7" s="177"/>
      <c r="AD7" s="177"/>
      <c r="AE7" s="177"/>
    </row>
    <row r="8" customHeight="1" spans="1:31">
      <c r="A8" s="177"/>
      <c r="B8" s="177"/>
      <c r="C8" s="177"/>
      <c r="D8" s="177"/>
      <c r="E8" s="177"/>
      <c r="F8" s="177"/>
      <c r="G8" s="177"/>
      <c r="I8" s="177"/>
      <c r="J8" s="177"/>
      <c r="K8" s="177"/>
      <c r="L8" s="177"/>
      <c r="M8" s="177"/>
      <c r="N8" s="177"/>
      <c r="O8" s="177"/>
      <c r="Q8" s="181"/>
      <c r="R8" s="181"/>
      <c r="S8" s="181"/>
      <c r="T8" s="78"/>
      <c r="U8" s="78"/>
      <c r="V8" s="78"/>
      <c r="W8" s="78"/>
      <c r="Y8" s="177"/>
      <c r="Z8" s="177"/>
      <c r="AA8" s="177"/>
      <c r="AB8" s="177"/>
      <c r="AC8" s="177"/>
      <c r="AD8" s="177"/>
      <c r="AE8" s="177"/>
    </row>
    <row r="9" customHeight="1" spans="1:31">
      <c r="A9" s="177"/>
      <c r="B9" s="177"/>
      <c r="C9" s="177"/>
      <c r="D9" s="177"/>
      <c r="E9" s="177"/>
      <c r="F9" s="177"/>
      <c r="G9" s="177"/>
      <c r="I9" s="177"/>
      <c r="J9" s="177"/>
      <c r="K9" s="177"/>
      <c r="L9" s="177"/>
      <c r="M9" s="177"/>
      <c r="N9" s="177"/>
      <c r="O9" s="177"/>
      <c r="Q9" s="181" t="s">
        <v>145</v>
      </c>
      <c r="R9" s="181"/>
      <c r="S9" s="181"/>
      <c r="T9" s="181"/>
      <c r="U9" s="181"/>
      <c r="V9" s="181"/>
      <c r="W9" s="181"/>
      <c r="Y9" s="177"/>
      <c r="Z9" s="177"/>
      <c r="AA9" s="177"/>
      <c r="AB9" s="177"/>
      <c r="AC9" s="177"/>
      <c r="AD9" s="177"/>
      <c r="AE9" s="177"/>
    </row>
    <row r="10" customHeight="1" spans="1:31">
      <c r="A10" s="177"/>
      <c r="B10" s="177"/>
      <c r="C10" s="177"/>
      <c r="D10" s="177"/>
      <c r="E10" s="177"/>
      <c r="F10" s="177"/>
      <c r="G10" s="177"/>
      <c r="I10" s="177"/>
      <c r="J10" s="177"/>
      <c r="K10" s="177"/>
      <c r="L10" s="177"/>
      <c r="M10" s="177"/>
      <c r="N10" s="177"/>
      <c r="O10" s="177"/>
      <c r="Q10" s="181"/>
      <c r="R10" s="181"/>
      <c r="S10" s="181"/>
      <c r="T10" s="181"/>
      <c r="U10" s="181"/>
      <c r="V10" s="181"/>
      <c r="W10" s="181"/>
      <c r="Y10" s="177"/>
      <c r="Z10" s="177"/>
      <c r="AA10" s="177"/>
      <c r="AB10" s="177"/>
      <c r="AC10" s="177"/>
      <c r="AD10" s="177"/>
      <c r="AE10" s="177"/>
    </row>
    <row r="11" customHeight="1" spans="1:31">
      <c r="A11" s="177"/>
      <c r="B11" s="177"/>
      <c r="C11" s="177"/>
      <c r="D11" s="177"/>
      <c r="E11" s="177"/>
      <c r="F11" s="177"/>
      <c r="G11" s="177"/>
      <c r="I11" s="177"/>
      <c r="J11" s="177"/>
      <c r="K11" s="177"/>
      <c r="L11" s="177"/>
      <c r="M11" s="177"/>
      <c r="N11" s="177"/>
      <c r="O11" s="177"/>
      <c r="Q11" s="78" t="s">
        <v>146</v>
      </c>
      <c r="R11" s="78"/>
      <c r="S11" s="78"/>
      <c r="T11" s="78"/>
      <c r="U11" s="78"/>
      <c r="V11" s="78"/>
      <c r="W11" s="78"/>
      <c r="Y11" s="177"/>
      <c r="Z11" s="177"/>
      <c r="AA11" s="177"/>
      <c r="AB11" s="177"/>
      <c r="AC11" s="177"/>
      <c r="AD11" s="177"/>
      <c r="AE11" s="177"/>
    </row>
    <row r="12" customHeight="1" spans="1:31">
      <c r="A12" s="177"/>
      <c r="B12" s="177"/>
      <c r="C12" s="177"/>
      <c r="D12" s="177"/>
      <c r="E12" s="177"/>
      <c r="F12" s="177"/>
      <c r="G12" s="177"/>
      <c r="I12" s="177"/>
      <c r="J12" s="177"/>
      <c r="K12" s="177"/>
      <c r="L12" s="177"/>
      <c r="M12" s="177"/>
      <c r="N12" s="177"/>
      <c r="O12" s="177"/>
      <c r="Q12" s="78"/>
      <c r="R12" s="78"/>
      <c r="S12" s="78"/>
      <c r="T12" s="78"/>
      <c r="U12" s="78"/>
      <c r="V12" s="78"/>
      <c r="W12" s="78"/>
      <c r="Y12" s="177"/>
      <c r="Z12" s="177"/>
      <c r="AA12" s="177"/>
      <c r="AB12" s="177"/>
      <c r="AC12" s="177"/>
      <c r="AD12" s="177"/>
      <c r="AE12" s="177"/>
    </row>
    <row r="13" customHeight="1" spans="1:31">
      <c r="A13" s="177"/>
      <c r="B13" s="177"/>
      <c r="C13" s="177"/>
      <c r="D13" s="177"/>
      <c r="E13" s="177"/>
      <c r="F13" s="177"/>
      <c r="G13" s="177"/>
      <c r="I13" s="177"/>
      <c r="J13" s="177"/>
      <c r="K13" s="177"/>
      <c r="L13" s="177"/>
      <c r="M13" s="177"/>
      <c r="N13" s="177"/>
      <c r="O13" s="177"/>
      <c r="Q13" s="78"/>
      <c r="R13" s="78"/>
      <c r="S13" s="78"/>
      <c r="T13" s="78"/>
      <c r="U13" s="78"/>
      <c r="V13" s="78"/>
      <c r="W13" s="78"/>
      <c r="Y13" s="177"/>
      <c r="Z13" s="177"/>
      <c r="AA13" s="177"/>
      <c r="AB13" s="177"/>
      <c r="AC13" s="177"/>
      <c r="AD13" s="177"/>
      <c r="AE13" s="177"/>
    </row>
    <row r="14" customHeight="1" spans="1:31">
      <c r="A14" s="177"/>
      <c r="B14" s="177"/>
      <c r="C14" s="177"/>
      <c r="D14" s="177"/>
      <c r="E14" s="177"/>
      <c r="F14" s="177"/>
      <c r="G14" s="177"/>
      <c r="I14" s="178" t="s">
        <v>147</v>
      </c>
      <c r="J14" s="178"/>
      <c r="K14" s="178"/>
      <c r="L14" s="178"/>
      <c r="M14" s="178"/>
      <c r="N14" s="178"/>
      <c r="O14" s="178"/>
      <c r="Q14" s="181" t="s">
        <v>148</v>
      </c>
      <c r="R14" s="181"/>
      <c r="S14" s="181"/>
      <c r="T14" s="181"/>
      <c r="U14" s="181"/>
      <c r="V14" s="181"/>
      <c r="W14" s="181"/>
      <c r="Y14" s="177"/>
      <c r="Z14" s="177"/>
      <c r="AA14" s="177"/>
      <c r="AB14" s="177"/>
      <c r="AC14" s="177"/>
      <c r="AD14" s="177"/>
      <c r="AE14" s="177"/>
    </row>
    <row r="15" customHeight="1" spans="1:31">
      <c r="A15" s="177"/>
      <c r="B15" s="177"/>
      <c r="C15" s="177"/>
      <c r="D15" s="177"/>
      <c r="E15" s="177"/>
      <c r="F15" s="177"/>
      <c r="G15" s="177"/>
      <c r="I15" s="178"/>
      <c r="J15" s="178"/>
      <c r="K15" s="178"/>
      <c r="L15" s="178"/>
      <c r="M15" s="178"/>
      <c r="N15" s="178"/>
      <c r="O15" s="178"/>
      <c r="Q15" s="181"/>
      <c r="R15" s="181"/>
      <c r="S15" s="181"/>
      <c r="T15" s="181"/>
      <c r="U15" s="181"/>
      <c r="V15" s="181"/>
      <c r="W15" s="181"/>
      <c r="Y15" s="177"/>
      <c r="Z15" s="177"/>
      <c r="AA15" s="177"/>
      <c r="AB15" s="177"/>
      <c r="AC15" s="177"/>
      <c r="AD15" s="177"/>
      <c r="AE15" s="177"/>
    </row>
    <row r="16" customHeight="1" spans="1:31">
      <c r="A16" s="177"/>
      <c r="B16" s="177"/>
      <c r="C16" s="177"/>
      <c r="D16" s="177"/>
      <c r="E16" s="177"/>
      <c r="F16" s="177"/>
      <c r="G16" s="177"/>
      <c r="I16" s="177" t="s">
        <v>149</v>
      </c>
      <c r="J16" s="177"/>
      <c r="K16" s="177"/>
      <c r="L16" s="177"/>
      <c r="M16" s="177"/>
      <c r="N16" s="177"/>
      <c r="O16" s="177"/>
      <c r="Q16" s="78" t="s">
        <v>150</v>
      </c>
      <c r="R16" s="78"/>
      <c r="S16" s="78"/>
      <c r="T16" s="78"/>
      <c r="U16" s="78"/>
      <c r="V16" s="78"/>
      <c r="W16" s="78"/>
      <c r="Y16" s="177"/>
      <c r="Z16" s="177"/>
      <c r="AA16" s="177"/>
      <c r="AB16" s="177"/>
      <c r="AC16" s="177"/>
      <c r="AD16" s="177"/>
      <c r="AE16" s="177"/>
    </row>
    <row r="17" customHeight="1" spans="1:31">
      <c r="A17" s="177"/>
      <c r="B17" s="177"/>
      <c r="C17" s="177"/>
      <c r="D17" s="177"/>
      <c r="E17" s="177"/>
      <c r="F17" s="177"/>
      <c r="G17" s="177"/>
      <c r="I17" s="177"/>
      <c r="J17" s="177"/>
      <c r="K17" s="177"/>
      <c r="L17" s="177"/>
      <c r="M17" s="177"/>
      <c r="N17" s="177"/>
      <c r="O17" s="177"/>
      <c r="Q17" s="78"/>
      <c r="R17" s="78"/>
      <c r="S17" s="78"/>
      <c r="T17" s="78"/>
      <c r="U17" s="78"/>
      <c r="V17" s="78"/>
      <c r="W17" s="78"/>
      <c r="Y17" s="177"/>
      <c r="Z17" s="177"/>
      <c r="AA17" s="177"/>
      <c r="AB17" s="177"/>
      <c r="AC17" s="177"/>
      <c r="AD17" s="177"/>
      <c r="AE17" s="177"/>
    </row>
    <row r="18" customHeight="1" spans="1:31">
      <c r="A18" s="177"/>
      <c r="B18" s="177"/>
      <c r="C18" s="177"/>
      <c r="D18" s="177"/>
      <c r="E18" s="177"/>
      <c r="F18" s="177"/>
      <c r="G18" s="177"/>
      <c r="I18" s="177"/>
      <c r="J18" s="177"/>
      <c r="K18" s="177"/>
      <c r="L18" s="177"/>
      <c r="M18" s="177"/>
      <c r="N18" s="177"/>
      <c r="O18" s="177"/>
      <c r="Q18" s="78"/>
      <c r="R18" s="78"/>
      <c r="S18" s="78"/>
      <c r="T18" s="78"/>
      <c r="U18" s="78"/>
      <c r="V18" s="78"/>
      <c r="W18" s="78"/>
      <c r="Y18" s="177"/>
      <c r="Z18" s="177"/>
      <c r="AA18" s="177"/>
      <c r="AB18" s="177"/>
      <c r="AC18" s="177"/>
      <c r="AD18" s="177"/>
      <c r="AE18" s="177"/>
    </row>
    <row r="19" customHeight="1" spans="1:31">
      <c r="A19" s="177"/>
      <c r="B19" s="177"/>
      <c r="C19" s="177"/>
      <c r="D19" s="177"/>
      <c r="E19" s="177"/>
      <c r="F19" s="177"/>
      <c r="G19" s="177"/>
      <c r="I19" s="177"/>
      <c r="J19" s="177"/>
      <c r="K19" s="177"/>
      <c r="L19" s="177"/>
      <c r="M19" s="177"/>
      <c r="N19" s="177"/>
      <c r="O19" s="177"/>
      <c r="Y19" s="177"/>
      <c r="Z19" s="177"/>
      <c r="AA19" s="177"/>
      <c r="AB19" s="177"/>
      <c r="AC19" s="177"/>
      <c r="AD19" s="177"/>
      <c r="AE19" s="177"/>
    </row>
    <row r="20" customHeight="1" spans="1:31">
      <c r="A20" s="177"/>
      <c r="B20" s="177"/>
      <c r="C20" s="177"/>
      <c r="D20" s="177"/>
      <c r="E20" s="177"/>
      <c r="F20" s="177"/>
      <c r="G20" s="177"/>
      <c r="I20" s="177"/>
      <c r="J20" s="177"/>
      <c r="K20" s="177"/>
      <c r="L20" s="177"/>
      <c r="M20" s="177"/>
      <c r="N20" s="177"/>
      <c r="O20" s="177"/>
      <c r="Y20" s="177"/>
      <c r="Z20" s="177"/>
      <c r="AA20" s="177"/>
      <c r="AB20" s="177"/>
      <c r="AC20" s="177"/>
      <c r="AD20" s="177"/>
      <c r="AE20" s="177"/>
    </row>
    <row r="21" customHeight="1" spans="1:31">
      <c r="A21" s="177"/>
      <c r="B21" s="177"/>
      <c r="C21" s="177"/>
      <c r="D21" s="177"/>
      <c r="E21" s="177"/>
      <c r="F21" s="177"/>
      <c r="G21" s="177"/>
      <c r="I21" s="177"/>
      <c r="J21" s="177"/>
      <c r="K21" s="177"/>
      <c r="L21" s="177"/>
      <c r="M21" s="177"/>
      <c r="N21" s="177"/>
      <c r="O21" s="177"/>
      <c r="Y21" s="177"/>
      <c r="Z21" s="177"/>
      <c r="AA21" s="177"/>
      <c r="AB21" s="177"/>
      <c r="AC21" s="177"/>
      <c r="AD21" s="177"/>
      <c r="AE21" s="177"/>
    </row>
    <row r="22" customHeight="1" spans="1:31">
      <c r="A22" s="177"/>
      <c r="B22" s="177"/>
      <c r="C22" s="177"/>
      <c r="D22" s="177"/>
      <c r="E22" s="177"/>
      <c r="F22" s="177"/>
      <c r="G22" s="177"/>
      <c r="I22" s="177"/>
      <c r="J22" s="177"/>
      <c r="K22" s="177"/>
      <c r="L22" s="177"/>
      <c r="M22" s="177"/>
      <c r="N22" s="177"/>
      <c r="O22" s="177"/>
      <c r="Y22" s="177"/>
      <c r="Z22" s="177"/>
      <c r="AA22" s="177"/>
      <c r="AB22" s="177"/>
      <c r="AC22" s="177"/>
      <c r="AD22" s="177"/>
      <c r="AE22" s="177"/>
    </row>
    <row r="23" customHeight="1" spans="1:31">
      <c r="A23" s="177"/>
      <c r="B23" s="177"/>
      <c r="C23" s="177"/>
      <c r="D23" s="177"/>
      <c r="E23" s="177"/>
      <c r="F23" s="177"/>
      <c r="G23" s="177"/>
      <c r="I23" s="177"/>
      <c r="J23" s="177"/>
      <c r="K23" s="177"/>
      <c r="L23" s="177"/>
      <c r="M23" s="177"/>
      <c r="N23" s="177"/>
      <c r="O23" s="177"/>
      <c r="Y23" s="177"/>
      <c r="Z23" s="177"/>
      <c r="AA23" s="177"/>
      <c r="AB23" s="177"/>
      <c r="AC23" s="177"/>
      <c r="AD23" s="177"/>
      <c r="AE23" s="177"/>
    </row>
    <row r="24" customHeight="1" spans="1:31">
      <c r="A24" s="177"/>
      <c r="B24" s="177"/>
      <c r="C24" s="177"/>
      <c r="D24" s="177"/>
      <c r="E24" s="177"/>
      <c r="F24" s="177"/>
      <c r="G24" s="177"/>
      <c r="I24" s="177"/>
      <c r="J24" s="177"/>
      <c r="K24" s="177"/>
      <c r="L24" s="177"/>
      <c r="M24" s="177"/>
      <c r="N24" s="177"/>
      <c r="O24" s="177"/>
      <c r="Y24" s="177"/>
      <c r="Z24" s="177"/>
      <c r="AA24" s="177"/>
      <c r="AB24" s="177"/>
      <c r="AC24" s="177"/>
      <c r="AD24" s="177"/>
      <c r="AE24" s="177"/>
    </row>
    <row r="25" customHeight="1" spans="1:31">
      <c r="A25" s="177"/>
      <c r="B25" s="177"/>
      <c r="C25" s="177"/>
      <c r="D25" s="177"/>
      <c r="E25" s="177"/>
      <c r="F25" s="177"/>
      <c r="G25" s="177"/>
      <c r="I25" s="177"/>
      <c r="J25" s="177"/>
      <c r="K25" s="177"/>
      <c r="L25" s="177"/>
      <c r="M25" s="177"/>
      <c r="N25" s="177"/>
      <c r="O25" s="177"/>
      <c r="U25" s="180"/>
      <c r="V25" s="180"/>
      <c r="W25" s="180"/>
      <c r="Y25" s="177"/>
      <c r="Z25" s="177"/>
      <c r="AA25" s="177"/>
      <c r="AB25" s="177"/>
      <c r="AC25" s="177"/>
      <c r="AD25" s="177"/>
      <c r="AE25" s="177"/>
    </row>
    <row r="26" customHeight="1" spans="9:15">
      <c r="I26" s="180"/>
      <c r="J26" s="180"/>
      <c r="K26" s="180"/>
      <c r="L26" s="180"/>
      <c r="M26" s="180"/>
      <c r="N26" s="180"/>
      <c r="O26" s="180"/>
    </row>
  </sheetData>
  <protectedRanges>
    <protectedRange sqref="A3 I3 Q3 A29 Y3" name="区域1"/>
  </protectedRanges>
  <mergeCells count="23"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  <mergeCell ref="Y1:AE2"/>
    <mergeCell ref="Y3:AE25"/>
    <mergeCell ref="Q3:S4"/>
    <mergeCell ref="T3:W4"/>
    <mergeCell ref="Q5:S6"/>
    <mergeCell ref="Q7:S8"/>
    <mergeCell ref="T5:W6"/>
    <mergeCell ref="T7:W8"/>
    <mergeCell ref="Q9:W10"/>
  </mergeCells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W27"/>
  <sheetViews>
    <sheetView workbookViewId="0">
      <selection activeCell="A1" sqref="A1:G3"/>
    </sheetView>
  </sheetViews>
  <sheetFormatPr defaultColWidth="9" defaultRowHeight="13.8"/>
  <sheetData>
    <row r="1" spans="1:23">
      <c r="A1" s="176" t="s">
        <v>151</v>
      </c>
      <c r="B1" s="175"/>
      <c r="C1" s="175"/>
      <c r="D1" s="175"/>
      <c r="E1" s="175"/>
      <c r="F1" s="175"/>
      <c r="G1" s="175"/>
      <c r="I1" s="176" t="s">
        <v>152</v>
      </c>
      <c r="J1" s="175"/>
      <c r="K1" s="175"/>
      <c r="L1" s="175"/>
      <c r="M1" s="175"/>
      <c r="N1" s="175"/>
      <c r="O1" s="175"/>
      <c r="Q1" s="176" t="s">
        <v>153</v>
      </c>
      <c r="R1" s="175"/>
      <c r="S1" s="175"/>
      <c r="T1" s="175"/>
      <c r="U1" s="175"/>
      <c r="V1" s="175"/>
      <c r="W1" s="175"/>
    </row>
    <row r="2" spans="1:23">
      <c r="A2" s="175"/>
      <c r="B2" s="175"/>
      <c r="C2" s="175"/>
      <c r="D2" s="175"/>
      <c r="E2" s="175"/>
      <c r="F2" s="175"/>
      <c r="G2" s="175"/>
      <c r="I2" s="175"/>
      <c r="J2" s="175"/>
      <c r="K2" s="175"/>
      <c r="L2" s="175"/>
      <c r="M2" s="175"/>
      <c r="N2" s="175"/>
      <c r="O2" s="175"/>
      <c r="Q2" s="175"/>
      <c r="R2" s="175"/>
      <c r="S2" s="175"/>
      <c r="T2" s="175"/>
      <c r="U2" s="175"/>
      <c r="V2" s="175"/>
      <c r="W2" s="175"/>
    </row>
    <row r="3" spans="1:23">
      <c r="A3" s="175"/>
      <c r="B3" s="175"/>
      <c r="C3" s="175"/>
      <c r="D3" s="175"/>
      <c r="E3" s="175"/>
      <c r="F3" s="175"/>
      <c r="G3" s="175"/>
      <c r="I3" s="175"/>
      <c r="J3" s="175"/>
      <c r="K3" s="175"/>
      <c r="L3" s="175"/>
      <c r="M3" s="175"/>
      <c r="N3" s="175"/>
      <c r="O3" s="175"/>
      <c r="Q3" s="175"/>
      <c r="R3" s="175"/>
      <c r="S3" s="175"/>
      <c r="T3" s="175"/>
      <c r="U3" s="175"/>
      <c r="V3" s="175"/>
      <c r="W3" s="175"/>
    </row>
    <row r="4" spans="1:23">
      <c r="A4" s="177" t="s">
        <v>154</v>
      </c>
      <c r="B4" s="177"/>
      <c r="C4" s="177"/>
      <c r="D4" s="177"/>
      <c r="E4" s="177"/>
      <c r="F4" s="177"/>
      <c r="G4" s="177"/>
      <c r="I4" s="177" t="s">
        <v>155</v>
      </c>
      <c r="J4" s="177"/>
      <c r="K4" s="177"/>
      <c r="L4" s="177"/>
      <c r="M4" s="177"/>
      <c r="N4" s="177"/>
      <c r="O4" s="177"/>
      <c r="Q4" s="177" t="s">
        <v>156</v>
      </c>
      <c r="R4" s="177"/>
      <c r="S4" s="177"/>
      <c r="T4" s="177"/>
      <c r="U4" s="177"/>
      <c r="V4" s="177"/>
      <c r="W4" s="177"/>
    </row>
    <row r="5" spans="1:23">
      <c r="A5" s="177"/>
      <c r="B5" s="177"/>
      <c r="C5" s="177"/>
      <c r="D5" s="177"/>
      <c r="E5" s="177"/>
      <c r="F5" s="177"/>
      <c r="G5" s="177"/>
      <c r="I5" s="177"/>
      <c r="J5" s="177"/>
      <c r="K5" s="177"/>
      <c r="L5" s="177"/>
      <c r="M5" s="177"/>
      <c r="N5" s="177"/>
      <c r="O5" s="177"/>
      <c r="Q5" s="177"/>
      <c r="R5" s="177"/>
      <c r="S5" s="177"/>
      <c r="T5" s="177"/>
      <c r="U5" s="177"/>
      <c r="V5" s="177"/>
      <c r="W5" s="177"/>
    </row>
    <row r="6" spans="1:23">
      <c r="A6" s="177"/>
      <c r="B6" s="177"/>
      <c r="C6" s="177"/>
      <c r="D6" s="177"/>
      <c r="E6" s="177"/>
      <c r="F6" s="177"/>
      <c r="G6" s="177"/>
      <c r="I6" s="177"/>
      <c r="J6" s="177"/>
      <c r="K6" s="177"/>
      <c r="L6" s="177"/>
      <c r="M6" s="177"/>
      <c r="N6" s="177"/>
      <c r="O6" s="177"/>
      <c r="Q6" s="177"/>
      <c r="R6" s="177"/>
      <c r="S6" s="177"/>
      <c r="T6" s="177"/>
      <c r="U6" s="177"/>
      <c r="V6" s="177"/>
      <c r="W6" s="177"/>
    </row>
    <row r="7" spans="1:23">
      <c r="A7" s="177"/>
      <c r="B7" s="177"/>
      <c r="C7" s="177"/>
      <c r="D7" s="177"/>
      <c r="E7" s="177"/>
      <c r="F7" s="177"/>
      <c r="G7" s="177"/>
      <c r="I7" s="177"/>
      <c r="J7" s="177"/>
      <c r="K7" s="177"/>
      <c r="L7" s="177"/>
      <c r="M7" s="177"/>
      <c r="N7" s="177"/>
      <c r="O7" s="177"/>
      <c r="Q7" s="177"/>
      <c r="R7" s="177"/>
      <c r="S7" s="177"/>
      <c r="T7" s="177"/>
      <c r="U7" s="177"/>
      <c r="V7" s="177"/>
      <c r="W7" s="177"/>
    </row>
    <row r="8" spans="1:23">
      <c r="A8" s="177"/>
      <c r="B8" s="177"/>
      <c r="C8" s="177"/>
      <c r="D8" s="177"/>
      <c r="E8" s="177"/>
      <c r="F8" s="177"/>
      <c r="G8" s="177"/>
      <c r="I8" s="177"/>
      <c r="J8" s="177"/>
      <c r="K8" s="177"/>
      <c r="L8" s="177"/>
      <c r="M8" s="177"/>
      <c r="N8" s="177"/>
      <c r="O8" s="177"/>
      <c r="Q8" s="177"/>
      <c r="R8" s="177"/>
      <c r="S8" s="177"/>
      <c r="T8" s="177"/>
      <c r="U8" s="177"/>
      <c r="V8" s="177"/>
      <c r="W8" s="177"/>
    </row>
    <row r="9" spans="1:23">
      <c r="A9" s="177"/>
      <c r="B9" s="177"/>
      <c r="C9" s="177"/>
      <c r="D9" s="177"/>
      <c r="E9" s="177"/>
      <c r="F9" s="177"/>
      <c r="G9" s="177"/>
      <c r="I9" s="177"/>
      <c r="J9" s="177"/>
      <c r="K9" s="177"/>
      <c r="L9" s="177"/>
      <c r="M9" s="177"/>
      <c r="N9" s="177"/>
      <c r="O9" s="177"/>
      <c r="Q9" s="177"/>
      <c r="R9" s="177"/>
      <c r="S9" s="177"/>
      <c r="T9" s="177"/>
      <c r="U9" s="177"/>
      <c r="V9" s="177"/>
      <c r="W9" s="177"/>
    </row>
    <row r="10" spans="1:23">
      <c r="A10" s="177"/>
      <c r="B10" s="177"/>
      <c r="C10" s="177"/>
      <c r="D10" s="177"/>
      <c r="E10" s="177"/>
      <c r="F10" s="177"/>
      <c r="G10" s="177"/>
      <c r="I10" s="177"/>
      <c r="J10" s="177"/>
      <c r="K10" s="177"/>
      <c r="L10" s="177"/>
      <c r="M10" s="177"/>
      <c r="N10" s="177"/>
      <c r="O10" s="177"/>
      <c r="Q10" s="177"/>
      <c r="R10" s="177"/>
      <c r="S10" s="177"/>
      <c r="T10" s="177"/>
      <c r="U10" s="177"/>
      <c r="V10" s="177"/>
      <c r="W10" s="177"/>
    </row>
    <row r="11" spans="1:23">
      <c r="A11" s="177"/>
      <c r="B11" s="177"/>
      <c r="C11" s="177"/>
      <c r="D11" s="177"/>
      <c r="E11" s="177"/>
      <c r="F11" s="177"/>
      <c r="G11" s="177"/>
      <c r="I11" s="177"/>
      <c r="J11" s="177"/>
      <c r="K11" s="177"/>
      <c r="L11" s="177"/>
      <c r="M11" s="177"/>
      <c r="N11" s="177"/>
      <c r="O11" s="177"/>
      <c r="Q11" s="177"/>
      <c r="R11" s="177"/>
      <c r="S11" s="177"/>
      <c r="T11" s="177"/>
      <c r="U11" s="177"/>
      <c r="V11" s="177"/>
      <c r="W11" s="177"/>
    </row>
    <row r="12" spans="1:23">
      <c r="A12" s="177"/>
      <c r="B12" s="177"/>
      <c r="C12" s="177"/>
      <c r="D12" s="177"/>
      <c r="E12" s="177"/>
      <c r="F12" s="177"/>
      <c r="G12" s="177"/>
      <c r="I12" s="177"/>
      <c r="J12" s="177"/>
      <c r="K12" s="177"/>
      <c r="L12" s="177"/>
      <c r="M12" s="177"/>
      <c r="N12" s="177"/>
      <c r="O12" s="177"/>
      <c r="Q12" s="177"/>
      <c r="R12" s="177"/>
      <c r="S12" s="177"/>
      <c r="T12" s="177"/>
      <c r="U12" s="177"/>
      <c r="V12" s="177"/>
      <c r="W12" s="177"/>
    </row>
    <row r="13" spans="1:23">
      <c r="A13" s="177"/>
      <c r="B13" s="177"/>
      <c r="C13" s="177"/>
      <c r="D13" s="177"/>
      <c r="E13" s="177"/>
      <c r="F13" s="177"/>
      <c r="G13" s="177"/>
      <c r="I13" s="177"/>
      <c r="J13" s="177"/>
      <c r="K13" s="177"/>
      <c r="L13" s="177"/>
      <c r="M13" s="177"/>
      <c r="N13" s="177"/>
      <c r="O13" s="177"/>
      <c r="Q13" s="177"/>
      <c r="R13" s="177"/>
      <c r="S13" s="177"/>
      <c r="T13" s="177"/>
      <c r="U13" s="177"/>
      <c r="V13" s="177"/>
      <c r="W13" s="177"/>
    </row>
    <row r="14" spans="1:23">
      <c r="A14" s="177"/>
      <c r="B14" s="177"/>
      <c r="C14" s="177"/>
      <c r="D14" s="177"/>
      <c r="E14" s="177"/>
      <c r="F14" s="177"/>
      <c r="G14" s="177"/>
      <c r="I14" s="177"/>
      <c r="J14" s="177"/>
      <c r="K14" s="177"/>
      <c r="L14" s="177"/>
      <c r="M14" s="177"/>
      <c r="N14" s="177"/>
      <c r="O14" s="177"/>
      <c r="Q14" s="177"/>
      <c r="R14" s="177"/>
      <c r="S14" s="177"/>
      <c r="T14" s="177"/>
      <c r="U14" s="177"/>
      <c r="V14" s="177"/>
      <c r="W14" s="177"/>
    </row>
    <row r="15" spans="1:23">
      <c r="A15" s="177"/>
      <c r="B15" s="177"/>
      <c r="C15" s="177"/>
      <c r="D15" s="177"/>
      <c r="E15" s="177"/>
      <c r="F15" s="177"/>
      <c r="G15" s="177"/>
      <c r="I15" s="177"/>
      <c r="J15" s="177"/>
      <c r="K15" s="177"/>
      <c r="L15" s="177"/>
      <c r="M15" s="177"/>
      <c r="N15" s="177"/>
      <c r="O15" s="177"/>
      <c r="Q15" s="177"/>
      <c r="R15" s="177"/>
      <c r="S15" s="177"/>
      <c r="T15" s="177"/>
      <c r="U15" s="177"/>
      <c r="V15" s="177"/>
      <c r="W15" s="177"/>
    </row>
    <row r="16" spans="1:23">
      <c r="A16" s="177"/>
      <c r="B16" s="177"/>
      <c r="C16" s="177"/>
      <c r="D16" s="177"/>
      <c r="E16" s="177"/>
      <c r="F16" s="177"/>
      <c r="G16" s="177"/>
      <c r="I16" s="177"/>
      <c r="J16" s="177"/>
      <c r="K16" s="177"/>
      <c r="L16" s="177"/>
      <c r="M16" s="177"/>
      <c r="N16" s="177"/>
      <c r="O16" s="177"/>
      <c r="Q16" s="177"/>
      <c r="R16" s="177"/>
      <c r="S16" s="177"/>
      <c r="T16" s="177"/>
      <c r="U16" s="177"/>
      <c r="V16" s="177"/>
      <c r="W16" s="177"/>
    </row>
    <row r="17" spans="1:23">
      <c r="A17" s="177"/>
      <c r="B17" s="177"/>
      <c r="C17" s="177"/>
      <c r="D17" s="177"/>
      <c r="E17" s="177"/>
      <c r="F17" s="177"/>
      <c r="G17" s="177"/>
      <c r="I17" s="177"/>
      <c r="J17" s="177"/>
      <c r="K17" s="177"/>
      <c r="L17" s="177"/>
      <c r="M17" s="177"/>
      <c r="N17" s="177"/>
      <c r="O17" s="177"/>
      <c r="Q17" s="177"/>
      <c r="R17" s="177"/>
      <c r="S17" s="177"/>
      <c r="T17" s="177"/>
      <c r="U17" s="177"/>
      <c r="V17" s="177"/>
      <c r="W17" s="177"/>
    </row>
    <row r="18" spans="1:23">
      <c r="A18" s="177"/>
      <c r="B18" s="177"/>
      <c r="C18" s="177"/>
      <c r="D18" s="177"/>
      <c r="E18" s="177"/>
      <c r="F18" s="177"/>
      <c r="G18" s="177"/>
      <c r="I18" s="177"/>
      <c r="J18" s="177"/>
      <c r="K18" s="177"/>
      <c r="L18" s="177"/>
      <c r="M18" s="177"/>
      <c r="N18" s="177"/>
      <c r="O18" s="177"/>
      <c r="Q18" s="177"/>
      <c r="R18" s="177"/>
      <c r="S18" s="177"/>
      <c r="T18" s="177"/>
      <c r="U18" s="177"/>
      <c r="V18" s="177"/>
      <c r="W18" s="177"/>
    </row>
    <row r="19" spans="1:23">
      <c r="A19" s="177"/>
      <c r="B19" s="177"/>
      <c r="C19" s="177"/>
      <c r="D19" s="177"/>
      <c r="E19" s="177"/>
      <c r="F19" s="177"/>
      <c r="G19" s="177"/>
      <c r="I19" s="177"/>
      <c r="J19" s="177"/>
      <c r="K19" s="177"/>
      <c r="L19" s="177"/>
      <c r="M19" s="177"/>
      <c r="N19" s="177"/>
      <c r="O19" s="177"/>
      <c r="Q19" s="177"/>
      <c r="R19" s="177"/>
      <c r="S19" s="177"/>
      <c r="T19" s="177"/>
      <c r="U19" s="177"/>
      <c r="V19" s="177"/>
      <c r="W19" s="177"/>
    </row>
    <row r="20" spans="1:23">
      <c r="A20" s="177"/>
      <c r="B20" s="177"/>
      <c r="C20" s="177"/>
      <c r="D20" s="177"/>
      <c r="E20" s="177"/>
      <c r="F20" s="177"/>
      <c r="G20" s="177"/>
      <c r="I20" s="177"/>
      <c r="J20" s="177"/>
      <c r="K20" s="177"/>
      <c r="L20" s="177"/>
      <c r="M20" s="177"/>
      <c r="N20" s="177"/>
      <c r="O20" s="177"/>
      <c r="Q20" s="177"/>
      <c r="R20" s="177"/>
      <c r="S20" s="177"/>
      <c r="T20" s="177"/>
      <c r="U20" s="177"/>
      <c r="V20" s="177"/>
      <c r="W20" s="177"/>
    </row>
    <row r="21" spans="1:23">
      <c r="A21" s="177"/>
      <c r="B21" s="177"/>
      <c r="C21" s="177"/>
      <c r="D21" s="177"/>
      <c r="E21" s="177"/>
      <c r="F21" s="177"/>
      <c r="G21" s="177"/>
      <c r="I21" s="177"/>
      <c r="J21" s="177"/>
      <c r="K21" s="177"/>
      <c r="L21" s="177"/>
      <c r="M21" s="177"/>
      <c r="N21" s="177"/>
      <c r="O21" s="177"/>
      <c r="Q21" s="177"/>
      <c r="R21" s="177"/>
      <c r="S21" s="177"/>
      <c r="T21" s="177"/>
      <c r="U21" s="177"/>
      <c r="V21" s="177"/>
      <c r="W21" s="177"/>
    </row>
    <row r="22" spans="1:23">
      <c r="A22" s="177"/>
      <c r="B22" s="177"/>
      <c r="C22" s="177"/>
      <c r="D22" s="177"/>
      <c r="E22" s="177"/>
      <c r="F22" s="177"/>
      <c r="G22" s="177"/>
      <c r="I22" s="177"/>
      <c r="J22" s="177"/>
      <c r="K22" s="177"/>
      <c r="L22" s="177"/>
      <c r="M22" s="177"/>
      <c r="N22" s="177"/>
      <c r="O22" s="177"/>
      <c r="Q22" s="177"/>
      <c r="R22" s="177"/>
      <c r="S22" s="177"/>
      <c r="T22" s="177"/>
      <c r="U22" s="177"/>
      <c r="V22" s="177"/>
      <c r="W22" s="177"/>
    </row>
    <row r="23" spans="1:23">
      <c r="A23" s="177"/>
      <c r="B23" s="177"/>
      <c r="C23" s="177"/>
      <c r="D23" s="177"/>
      <c r="E23" s="177"/>
      <c r="F23" s="177"/>
      <c r="G23" s="177"/>
      <c r="I23" s="177"/>
      <c r="J23" s="177"/>
      <c r="K23" s="177"/>
      <c r="L23" s="177"/>
      <c r="M23" s="177"/>
      <c r="N23" s="177"/>
      <c r="O23" s="177"/>
      <c r="Q23" s="177"/>
      <c r="R23" s="177"/>
      <c r="S23" s="177"/>
      <c r="T23" s="177"/>
      <c r="U23" s="177"/>
      <c r="V23" s="177"/>
      <c r="W23" s="177"/>
    </row>
    <row r="24" spans="1:23">
      <c r="A24" s="177"/>
      <c r="B24" s="177"/>
      <c r="C24" s="177"/>
      <c r="D24" s="177"/>
      <c r="E24" s="177"/>
      <c r="F24" s="177"/>
      <c r="G24" s="177"/>
      <c r="I24" s="177"/>
      <c r="J24" s="177"/>
      <c r="K24" s="177"/>
      <c r="L24" s="177"/>
      <c r="M24" s="177"/>
      <c r="N24" s="177"/>
      <c r="O24" s="177"/>
      <c r="Q24" s="177"/>
      <c r="R24" s="177"/>
      <c r="S24" s="177"/>
      <c r="T24" s="177"/>
      <c r="U24" s="177"/>
      <c r="V24" s="177"/>
      <c r="W24" s="177"/>
    </row>
    <row r="25" spans="1:23">
      <c r="A25" s="177"/>
      <c r="B25" s="177"/>
      <c r="C25" s="177"/>
      <c r="D25" s="177"/>
      <c r="E25" s="177"/>
      <c r="F25" s="177"/>
      <c r="G25" s="177"/>
      <c r="I25" s="177"/>
      <c r="J25" s="177"/>
      <c r="K25" s="177"/>
      <c r="L25" s="177"/>
      <c r="M25" s="177"/>
      <c r="N25" s="177"/>
      <c r="O25" s="177"/>
      <c r="Q25" s="177"/>
      <c r="R25" s="177"/>
      <c r="S25" s="177"/>
      <c r="T25" s="177"/>
      <c r="U25" s="177"/>
      <c r="V25" s="177"/>
      <c r="W25" s="177"/>
    </row>
    <row r="26" spans="1:23">
      <c r="A26" s="177"/>
      <c r="B26" s="177"/>
      <c r="C26" s="177"/>
      <c r="D26" s="177"/>
      <c r="E26" s="177"/>
      <c r="F26" s="177"/>
      <c r="G26" s="177"/>
      <c r="I26" s="177"/>
      <c r="J26" s="177"/>
      <c r="K26" s="177"/>
      <c r="L26" s="177"/>
      <c r="M26" s="177"/>
      <c r="N26" s="177"/>
      <c r="O26" s="177"/>
      <c r="Q26" s="177"/>
      <c r="R26" s="177"/>
      <c r="S26" s="177"/>
      <c r="T26" s="177"/>
      <c r="U26" s="177"/>
      <c r="V26" s="177"/>
      <c r="W26" s="177"/>
    </row>
    <row r="27" spans="1:23">
      <c r="A27" s="177"/>
      <c r="B27" s="177"/>
      <c r="C27" s="177"/>
      <c r="D27" s="177"/>
      <c r="E27" s="177"/>
      <c r="F27" s="177"/>
      <c r="G27" s="177"/>
      <c r="I27" s="177"/>
      <c r="J27" s="177"/>
      <c r="K27" s="177"/>
      <c r="L27" s="177"/>
      <c r="M27" s="177"/>
      <c r="N27" s="177"/>
      <c r="O27" s="177"/>
      <c r="Q27" s="177"/>
      <c r="R27" s="177"/>
      <c r="S27" s="177"/>
      <c r="T27" s="177"/>
      <c r="U27" s="177"/>
      <c r="V27" s="177"/>
      <c r="W27" s="177"/>
    </row>
  </sheetData>
  <mergeCells count="6">
    <mergeCell ref="A1:G3"/>
    <mergeCell ref="I1:O3"/>
    <mergeCell ref="Q1:W3"/>
    <mergeCell ref="A4:G27"/>
    <mergeCell ref="I4:O27"/>
    <mergeCell ref="Q4:W27"/>
  </mergeCell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W20"/>
  <sheetViews>
    <sheetView workbookViewId="0">
      <selection activeCell="M4" sqref="M4"/>
    </sheetView>
  </sheetViews>
  <sheetFormatPr defaultColWidth="9" defaultRowHeight="13.8"/>
  <sheetData>
    <row r="1" ht="20.4" customHeight="1" spans="1:20">
      <c r="A1" s="163" t="s">
        <v>157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5" t="s">
        <v>158</v>
      </c>
      <c r="M1" s="166"/>
      <c r="N1" s="166"/>
      <c r="O1" s="166"/>
      <c r="P1" s="166"/>
      <c r="Q1" s="166"/>
      <c r="R1" s="169"/>
      <c r="S1" s="170" t="s">
        <v>108</v>
      </c>
      <c r="T1" s="171"/>
    </row>
    <row r="2" ht="20.4" customHeight="1" spans="1:20">
      <c r="A2" s="163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7"/>
      <c r="M2" s="168"/>
      <c r="N2" s="168"/>
      <c r="O2" s="168"/>
      <c r="P2" s="168"/>
      <c r="Q2" s="168"/>
      <c r="R2" s="172"/>
      <c r="S2" s="173"/>
      <c r="T2" s="174"/>
    </row>
    <row r="3" ht="20.4" customHeight="1" spans="1:19">
      <c r="A3" s="164" t="s">
        <v>159</v>
      </c>
      <c r="B3" s="164"/>
      <c r="C3" s="118" t="s">
        <v>160</v>
      </c>
      <c r="D3" s="95">
        <v>1</v>
      </c>
      <c r="E3" s="95"/>
      <c r="F3" s="118" t="s">
        <v>161</v>
      </c>
      <c r="G3" s="95" t="s">
        <v>64</v>
      </c>
      <c r="H3" s="95"/>
      <c r="I3" s="118" t="s">
        <v>162</v>
      </c>
      <c r="J3" s="95" t="s">
        <v>85</v>
      </c>
      <c r="K3" s="95"/>
      <c r="N3" s="115" t="s">
        <v>163</v>
      </c>
      <c r="O3" s="117"/>
      <c r="P3" s="117"/>
      <c r="Q3" s="117"/>
      <c r="R3" s="117"/>
      <c r="S3" s="116"/>
    </row>
    <row r="4" ht="20.4" customHeight="1" spans="1:23">
      <c r="A4" s="164"/>
      <c r="B4" s="164"/>
      <c r="C4" s="118" t="s">
        <v>164</v>
      </c>
      <c r="D4" s="95" t="s">
        <v>11</v>
      </c>
      <c r="E4" s="95"/>
      <c r="F4" s="118" t="s">
        <v>165</v>
      </c>
      <c r="G4" s="95">
        <v>25</v>
      </c>
      <c r="H4" s="95"/>
      <c r="I4" s="118" t="s">
        <v>166</v>
      </c>
      <c r="J4" s="95" t="s">
        <v>167</v>
      </c>
      <c r="K4" s="95"/>
      <c r="N4" s="118" t="s">
        <v>168</v>
      </c>
      <c r="O4" s="118" t="s">
        <v>169</v>
      </c>
      <c r="P4" s="118" t="s">
        <v>170</v>
      </c>
      <c r="Q4" s="118" t="s">
        <v>171</v>
      </c>
      <c r="R4" s="118" t="s">
        <v>172</v>
      </c>
      <c r="S4" s="118" t="s">
        <v>173</v>
      </c>
      <c r="W4" s="175"/>
    </row>
    <row r="5" ht="20.4" customHeight="1" spans="1:19">
      <c r="A5" s="164"/>
      <c r="B5" s="164"/>
      <c r="C5" s="118" t="s">
        <v>174</v>
      </c>
      <c r="D5" s="95">
        <v>3</v>
      </c>
      <c r="E5" s="95"/>
      <c r="F5" s="118" t="s">
        <v>65</v>
      </c>
      <c r="G5" s="95">
        <v>8</v>
      </c>
      <c r="H5" s="95"/>
      <c r="I5" s="118" t="s">
        <v>175</v>
      </c>
      <c r="J5" s="95">
        <f ca="1" t="array" ref="J5">ROUNDDOWN((20/144)*POWER(((INDIRECT("总表"&amp;"!K3")-G4)/5-12),2)+10,0)</f>
        <v>16</v>
      </c>
      <c r="K5" s="95"/>
      <c r="N5" s="95"/>
      <c r="O5" s="95"/>
      <c r="P5" s="95"/>
      <c r="Q5" s="95"/>
      <c r="R5" s="95"/>
      <c r="S5" s="95"/>
    </row>
    <row r="6" ht="20.4" customHeight="1" spans="1:20">
      <c r="A6" s="164"/>
      <c r="B6" s="164"/>
      <c r="C6" s="109" t="s">
        <v>176</v>
      </c>
      <c r="D6" s="107" t="s">
        <v>177</v>
      </c>
      <c r="E6" s="107"/>
      <c r="F6" s="107"/>
      <c r="G6" s="107"/>
      <c r="H6" s="107"/>
      <c r="I6" s="107"/>
      <c r="J6" s="107"/>
      <c r="K6" s="107"/>
      <c r="L6" s="157" t="s">
        <v>178</v>
      </c>
      <c r="M6" s="70" t="s">
        <v>179</v>
      </c>
      <c r="N6" s="93"/>
      <c r="O6" s="93"/>
      <c r="P6" s="93"/>
      <c r="Q6" s="93"/>
      <c r="R6" s="93"/>
      <c r="S6" s="93"/>
      <c r="T6" s="94"/>
    </row>
    <row r="7" ht="20.4" customHeight="1" spans="1:20">
      <c r="A7" s="164"/>
      <c r="B7" s="164"/>
      <c r="C7" s="109"/>
      <c r="D7" s="107"/>
      <c r="E7" s="107"/>
      <c r="F7" s="107"/>
      <c r="G7" s="107"/>
      <c r="H7" s="107"/>
      <c r="I7" s="107"/>
      <c r="J7" s="107"/>
      <c r="K7" s="107"/>
      <c r="L7" s="158"/>
      <c r="M7" s="159"/>
      <c r="N7" s="78"/>
      <c r="O7" s="78"/>
      <c r="P7" s="78"/>
      <c r="Q7" s="78"/>
      <c r="R7" s="78"/>
      <c r="S7" s="78"/>
      <c r="T7" s="160"/>
    </row>
    <row r="8" ht="20.4" customHeight="1" spans="1:20">
      <c r="A8" s="164"/>
      <c r="B8" s="164"/>
      <c r="C8" s="118" t="s">
        <v>180</v>
      </c>
      <c r="D8" s="107" t="s">
        <v>181</v>
      </c>
      <c r="E8" s="107"/>
      <c r="F8" s="107"/>
      <c r="G8" s="107"/>
      <c r="H8" s="107"/>
      <c r="I8" s="107"/>
      <c r="J8" s="107"/>
      <c r="K8" s="107"/>
      <c r="L8" s="158"/>
      <c r="M8" s="159"/>
      <c r="N8" s="78"/>
      <c r="O8" s="78"/>
      <c r="P8" s="78"/>
      <c r="Q8" s="78"/>
      <c r="R8" s="78"/>
      <c r="S8" s="78"/>
      <c r="T8" s="160"/>
    </row>
    <row r="9" ht="20.4" customHeight="1" spans="1:20">
      <c r="A9" s="164"/>
      <c r="B9" s="164"/>
      <c r="C9" s="118"/>
      <c r="D9" s="107"/>
      <c r="E9" s="107"/>
      <c r="F9" s="107"/>
      <c r="G9" s="107"/>
      <c r="H9" s="107"/>
      <c r="I9" s="107"/>
      <c r="J9" s="107"/>
      <c r="K9" s="107"/>
      <c r="L9" s="65"/>
      <c r="M9" s="74"/>
      <c r="N9" s="96"/>
      <c r="O9" s="96"/>
      <c r="P9" s="96"/>
      <c r="Q9" s="96"/>
      <c r="R9" s="96"/>
      <c r="S9" s="96"/>
      <c r="T9" s="97"/>
    </row>
    <row r="10" ht="20.4" customHeight="1" spans="1:19">
      <c r="A10" s="164" t="s">
        <v>182</v>
      </c>
      <c r="B10" s="164"/>
      <c r="C10" s="118" t="s">
        <v>160</v>
      </c>
      <c r="D10" s="95">
        <v>1</v>
      </c>
      <c r="E10" s="95"/>
      <c r="F10" s="118" t="s">
        <v>161</v>
      </c>
      <c r="G10" s="95" t="s">
        <v>183</v>
      </c>
      <c r="H10" s="95"/>
      <c r="I10" s="118" t="s">
        <v>162</v>
      </c>
      <c r="J10" s="95" t="s">
        <v>184</v>
      </c>
      <c r="K10" s="95"/>
      <c r="N10" s="115" t="s">
        <v>163</v>
      </c>
      <c r="O10" s="117"/>
      <c r="P10" s="117"/>
      <c r="Q10" s="117"/>
      <c r="R10" s="117"/>
      <c r="S10" s="116"/>
    </row>
    <row r="11" ht="20.4" customHeight="1" spans="1:19">
      <c r="A11" s="164"/>
      <c r="B11" s="164"/>
      <c r="C11" s="118" t="s">
        <v>164</v>
      </c>
      <c r="D11" s="95" t="s">
        <v>11</v>
      </c>
      <c r="E11" s="95"/>
      <c r="F11" s="118" t="s">
        <v>165</v>
      </c>
      <c r="G11" s="95">
        <v>35</v>
      </c>
      <c r="H11" s="95"/>
      <c r="I11" s="118" t="s">
        <v>166</v>
      </c>
      <c r="J11" s="95" t="s">
        <v>184</v>
      </c>
      <c r="K11" s="95"/>
      <c r="N11" s="118" t="s">
        <v>168</v>
      </c>
      <c r="O11" s="118" t="s">
        <v>169</v>
      </c>
      <c r="P11" s="118" t="s">
        <v>170</v>
      </c>
      <c r="Q11" s="118" t="s">
        <v>171</v>
      </c>
      <c r="R11" s="118" t="s">
        <v>172</v>
      </c>
      <c r="S11" s="118" t="s">
        <v>173</v>
      </c>
    </row>
    <row r="12" ht="20.4" customHeight="1" spans="1:23">
      <c r="A12" s="164"/>
      <c r="B12" s="164"/>
      <c r="C12" s="118" t="s">
        <v>174</v>
      </c>
      <c r="D12" s="95" t="s">
        <v>185</v>
      </c>
      <c r="E12" s="95"/>
      <c r="F12" s="118" t="s">
        <v>65</v>
      </c>
      <c r="G12" s="95">
        <v>9</v>
      </c>
      <c r="H12" s="95"/>
      <c r="I12" s="118" t="s">
        <v>175</v>
      </c>
      <c r="J12" s="95">
        <f ca="1" t="array" ref="J12">ROUNDDOWN((20/144)*POWER(((INDIRECT("总表"&amp;"!K3")-G11)/5-12),2)+10,0)</f>
        <v>21</v>
      </c>
      <c r="K12" s="95"/>
      <c r="N12" s="95">
        <v>2</v>
      </c>
      <c r="O12" s="95"/>
      <c r="P12" s="95"/>
      <c r="Q12" s="95"/>
      <c r="R12" s="95"/>
      <c r="S12" s="95"/>
      <c r="W12" s="162"/>
    </row>
    <row r="13" ht="20.4" customHeight="1" spans="1:20">
      <c r="A13" s="164"/>
      <c r="B13" s="164"/>
      <c r="C13" s="109" t="s">
        <v>176</v>
      </c>
      <c r="D13" s="107" t="s">
        <v>186</v>
      </c>
      <c r="E13" s="107"/>
      <c r="F13" s="107"/>
      <c r="G13" s="107"/>
      <c r="H13" s="107"/>
      <c r="I13" s="107"/>
      <c r="J13" s="107"/>
      <c r="K13" s="107"/>
      <c r="L13" s="157" t="s">
        <v>178</v>
      </c>
      <c r="M13" s="70" t="s">
        <v>179</v>
      </c>
      <c r="N13" s="93"/>
      <c r="O13" s="93"/>
      <c r="P13" s="93"/>
      <c r="Q13" s="93"/>
      <c r="R13" s="93"/>
      <c r="S13" s="93"/>
      <c r="T13" s="94"/>
    </row>
    <row r="14" ht="20.4" customHeight="1" spans="1:20">
      <c r="A14" s="164"/>
      <c r="B14" s="164"/>
      <c r="C14" s="109"/>
      <c r="D14" s="107"/>
      <c r="E14" s="107"/>
      <c r="F14" s="107"/>
      <c r="G14" s="107"/>
      <c r="H14" s="107"/>
      <c r="I14" s="107"/>
      <c r="J14" s="107"/>
      <c r="K14" s="107"/>
      <c r="L14" s="158"/>
      <c r="M14" s="159"/>
      <c r="N14" s="78"/>
      <c r="O14" s="78"/>
      <c r="P14" s="78"/>
      <c r="Q14" s="78"/>
      <c r="R14" s="78"/>
      <c r="S14" s="78"/>
      <c r="T14" s="160"/>
    </row>
    <row r="15" ht="20.4" customHeight="1" spans="1:20">
      <c r="A15" s="164"/>
      <c r="B15" s="164"/>
      <c r="C15" s="118" t="s">
        <v>180</v>
      </c>
      <c r="D15" s="107" t="s">
        <v>187</v>
      </c>
      <c r="E15" s="107"/>
      <c r="F15" s="107"/>
      <c r="G15" s="107"/>
      <c r="H15" s="107"/>
      <c r="I15" s="107"/>
      <c r="J15" s="107"/>
      <c r="K15" s="107"/>
      <c r="L15" s="158"/>
      <c r="M15" s="159"/>
      <c r="N15" s="78"/>
      <c r="O15" s="78"/>
      <c r="P15" s="78"/>
      <c r="Q15" s="78"/>
      <c r="R15" s="78"/>
      <c r="S15" s="78"/>
      <c r="T15" s="160"/>
    </row>
    <row r="16" ht="20.4" customHeight="1" spans="1:20">
      <c r="A16" s="164"/>
      <c r="B16" s="164"/>
      <c r="C16" s="118"/>
      <c r="D16" s="107"/>
      <c r="E16" s="107"/>
      <c r="F16" s="107"/>
      <c r="G16" s="107"/>
      <c r="H16" s="107"/>
      <c r="I16" s="107"/>
      <c r="J16" s="107"/>
      <c r="K16" s="107"/>
      <c r="L16" s="65"/>
      <c r="M16" s="74"/>
      <c r="N16" s="96"/>
      <c r="O16" s="96"/>
      <c r="P16" s="96"/>
      <c r="Q16" s="96"/>
      <c r="R16" s="96"/>
      <c r="S16" s="96"/>
      <c r="T16" s="97"/>
    </row>
    <row r="17" ht="20.4" customHeight="1"/>
    <row r="18" ht="20.4" customHeight="1"/>
    <row r="19" ht="20.4" customHeight="1" spans="1:1">
      <c r="A19" t="str">
        <f>G3</f>
        <v>近藤镇教</v>
      </c>
    </row>
    <row r="20" ht="20.4" customHeight="1" spans="1:1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D3:E3"/>
    <mergeCell ref="G3:H3"/>
    <mergeCell ref="J3:K3"/>
    <mergeCell ref="N3:S3"/>
    <mergeCell ref="D4:E4"/>
    <mergeCell ref="G4:H4"/>
    <mergeCell ref="J4:K4"/>
    <mergeCell ref="D5:E5"/>
    <mergeCell ref="G5:H5"/>
    <mergeCell ref="J5:K5"/>
    <mergeCell ref="D10:E10"/>
    <mergeCell ref="G10:H10"/>
    <mergeCell ref="J10:K10"/>
    <mergeCell ref="N10:S10"/>
    <mergeCell ref="D11:E11"/>
    <mergeCell ref="G11:H11"/>
    <mergeCell ref="J11:K11"/>
    <mergeCell ref="D12:E12"/>
    <mergeCell ref="G12:H12"/>
    <mergeCell ref="J12:K12"/>
    <mergeCell ref="C6:C7"/>
    <mergeCell ref="C8:C9"/>
    <mergeCell ref="C13:C14"/>
    <mergeCell ref="C15:C16"/>
    <mergeCell ref="L6:L9"/>
    <mergeCell ref="L13:L16"/>
    <mergeCell ref="A10:B16"/>
    <mergeCell ref="M13:T16"/>
    <mergeCell ref="M6:T9"/>
    <mergeCell ref="D8:K9"/>
    <mergeCell ref="D6:K7"/>
    <mergeCell ref="A3:B9"/>
    <mergeCell ref="L1:R2"/>
    <mergeCell ref="S1:T2"/>
    <mergeCell ref="D15:K16"/>
    <mergeCell ref="D13:K14"/>
    <mergeCell ref="A1:K2"/>
  </mergeCells>
  <dataValidations count="3">
    <dataValidation type="list" allowBlank="1" showInputMessage="1" showErrorMessage="1" sqref="J3:K3 J10:K10">
      <formula1>各种技能!$L$4:$L$34</formula1>
    </dataValidation>
    <dataValidation type="list" allowBlank="1" showInputMessage="1" showErrorMessage="1" sqref="S1:T2">
      <formula1>总表!$D$29:$D$30</formula1>
    </dataValidation>
    <dataValidation type="list" allowBlank="1" showInputMessage="1" showErrorMessage="1" sqref="D4:E4 D11:E11">
      <formula1>总表!$A$29:$A$34</formula1>
    </dataValidation>
  </dataValidation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20"/>
  <sheetViews>
    <sheetView topLeftCell="B1" workbookViewId="0">
      <selection activeCell="L19" sqref="L19"/>
    </sheetView>
  </sheetViews>
  <sheetFormatPr defaultColWidth="9" defaultRowHeight="13.8"/>
  <sheetData>
    <row r="1" ht="20.4" customHeight="1" spans="1:23">
      <c r="A1" s="144" t="s">
        <v>188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51"/>
      <c r="O1" s="152" t="s">
        <v>189</v>
      </c>
      <c r="P1" s="153"/>
      <c r="Q1" s="113">
        <f>FLOOR(AVERAGE(H4,H8,H12,H16),1)</f>
        <v>20</v>
      </c>
      <c r="R1" s="113"/>
      <c r="S1" s="152" t="s">
        <v>190</v>
      </c>
      <c r="T1" s="153"/>
      <c r="U1" s="113">
        <f ca="1" t="array" ref="U1">ROUNDDOWN((15/144)*POWER(((INDIRECT("总表"&amp;"!K3")-Q1)/5-12),2)+5,0)</f>
        <v>8</v>
      </c>
      <c r="V1" s="113"/>
      <c r="W1" s="113"/>
    </row>
    <row r="2" ht="20.4" customHeight="1" spans="1:23">
      <c r="A2" s="146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54"/>
      <c r="O2" s="155"/>
      <c r="P2" s="156"/>
      <c r="Q2" s="114"/>
      <c r="R2" s="114"/>
      <c r="S2" s="155"/>
      <c r="T2" s="156"/>
      <c r="U2" s="114"/>
      <c r="V2" s="114"/>
      <c r="W2" s="114"/>
    </row>
    <row r="3" ht="20.4" customHeight="1" spans="1:23">
      <c r="A3" s="148" t="s">
        <v>95</v>
      </c>
      <c r="B3" s="118" t="s">
        <v>161</v>
      </c>
      <c r="C3" s="118"/>
      <c r="D3" s="118" t="s">
        <v>160</v>
      </c>
      <c r="E3" s="118" t="s">
        <v>191</v>
      </c>
      <c r="F3" s="118" t="s">
        <v>88</v>
      </c>
      <c r="G3" s="118" t="s">
        <v>192</v>
      </c>
      <c r="H3" s="118" t="s">
        <v>165</v>
      </c>
      <c r="I3" s="118" t="s">
        <v>168</v>
      </c>
      <c r="J3" s="118" t="s">
        <v>169</v>
      </c>
      <c r="K3" s="118" t="s">
        <v>170</v>
      </c>
      <c r="L3" s="118" t="s">
        <v>171</v>
      </c>
      <c r="M3" s="118" t="s">
        <v>172</v>
      </c>
      <c r="N3" s="118" t="s">
        <v>173</v>
      </c>
      <c r="O3" s="157" t="s">
        <v>178</v>
      </c>
      <c r="P3" s="70" t="s">
        <v>193</v>
      </c>
      <c r="Q3" s="93"/>
      <c r="R3" s="93"/>
      <c r="S3" s="93"/>
      <c r="T3" s="93"/>
      <c r="U3" s="93"/>
      <c r="V3" s="93"/>
      <c r="W3" s="94"/>
    </row>
    <row r="4" ht="20.4" customHeight="1" spans="1:23">
      <c r="A4" s="148"/>
      <c r="B4" s="118"/>
      <c r="C4" s="118"/>
      <c r="D4" s="95">
        <v>1</v>
      </c>
      <c r="E4" s="95">
        <v>1</v>
      </c>
      <c r="F4" s="149">
        <v>0.2</v>
      </c>
      <c r="G4" s="95">
        <v>5</v>
      </c>
      <c r="H4" s="95">
        <v>10</v>
      </c>
      <c r="I4" s="95"/>
      <c r="J4" s="95"/>
      <c r="K4" s="95"/>
      <c r="L4" s="95"/>
      <c r="M4" s="95"/>
      <c r="N4" s="95"/>
      <c r="O4" s="158"/>
      <c r="P4" s="159"/>
      <c r="Q4" s="78"/>
      <c r="R4" s="78"/>
      <c r="S4" s="78"/>
      <c r="T4" s="78"/>
      <c r="U4" s="78"/>
      <c r="V4" s="78"/>
      <c r="W4" s="160"/>
    </row>
    <row r="5" ht="20.4" customHeight="1" spans="1:23">
      <c r="A5" s="148"/>
      <c r="B5" s="75" t="s">
        <v>194</v>
      </c>
      <c r="C5" s="75"/>
      <c r="D5" s="115" t="s">
        <v>176</v>
      </c>
      <c r="E5" s="117"/>
      <c r="F5" s="117"/>
      <c r="G5" s="117"/>
      <c r="H5" s="117"/>
      <c r="I5" s="117"/>
      <c r="J5" s="117"/>
      <c r="K5" s="117"/>
      <c r="L5" s="117"/>
      <c r="M5" s="117"/>
      <c r="N5" s="116"/>
      <c r="O5" s="158"/>
      <c r="P5" s="159"/>
      <c r="Q5" s="78"/>
      <c r="R5" s="78"/>
      <c r="S5" s="78"/>
      <c r="T5" s="78"/>
      <c r="U5" s="78"/>
      <c r="V5" s="78"/>
      <c r="W5" s="160"/>
    </row>
    <row r="6" ht="20.4" customHeight="1" spans="1:23">
      <c r="A6" s="148"/>
      <c r="B6" s="75"/>
      <c r="C6" s="75"/>
      <c r="D6" s="150" t="s">
        <v>195</v>
      </c>
      <c r="E6" s="139"/>
      <c r="F6" s="139"/>
      <c r="G6" s="139"/>
      <c r="H6" s="139"/>
      <c r="I6" s="139"/>
      <c r="J6" s="139"/>
      <c r="K6" s="139"/>
      <c r="L6" s="139"/>
      <c r="M6" s="139"/>
      <c r="N6" s="141"/>
      <c r="O6" s="65"/>
      <c r="P6" s="74"/>
      <c r="Q6" s="96"/>
      <c r="R6" s="96"/>
      <c r="S6" s="96"/>
      <c r="T6" s="96"/>
      <c r="U6" s="96"/>
      <c r="V6" s="96"/>
      <c r="W6" s="97"/>
    </row>
    <row r="7" ht="20.4" customHeight="1" spans="1:23">
      <c r="A7" s="148" t="s">
        <v>99</v>
      </c>
      <c r="B7" s="118" t="s">
        <v>161</v>
      </c>
      <c r="C7" s="118"/>
      <c r="D7" s="118" t="s">
        <v>160</v>
      </c>
      <c r="E7" s="118" t="s">
        <v>191</v>
      </c>
      <c r="F7" s="118" t="s">
        <v>88</v>
      </c>
      <c r="G7" s="118" t="s">
        <v>192</v>
      </c>
      <c r="H7" s="118" t="s">
        <v>165</v>
      </c>
      <c r="I7" s="118" t="s">
        <v>168</v>
      </c>
      <c r="J7" s="118" t="s">
        <v>169</v>
      </c>
      <c r="K7" s="118" t="s">
        <v>170</v>
      </c>
      <c r="L7" s="118" t="s">
        <v>171</v>
      </c>
      <c r="M7" s="118" t="s">
        <v>172</v>
      </c>
      <c r="N7" s="118" t="s">
        <v>173</v>
      </c>
      <c r="O7" s="157" t="s">
        <v>178</v>
      </c>
      <c r="P7" s="70" t="s">
        <v>193</v>
      </c>
      <c r="Q7" s="93"/>
      <c r="R7" s="93"/>
      <c r="S7" s="93"/>
      <c r="T7" s="93"/>
      <c r="U7" s="93"/>
      <c r="V7" s="93"/>
      <c r="W7" s="94"/>
    </row>
    <row r="8" ht="20.4" customHeight="1" spans="1:23">
      <c r="A8" s="148"/>
      <c r="B8" s="118"/>
      <c r="C8" s="118"/>
      <c r="D8" s="95">
        <v>1</v>
      </c>
      <c r="E8" s="95">
        <v>2</v>
      </c>
      <c r="F8" s="149">
        <v>0.3</v>
      </c>
      <c r="G8" s="95">
        <v>8</v>
      </c>
      <c r="H8" s="95">
        <v>20</v>
      </c>
      <c r="I8" s="95"/>
      <c r="J8" s="95"/>
      <c r="K8" s="95"/>
      <c r="L8" s="95"/>
      <c r="M8" s="95"/>
      <c r="N8" s="95"/>
      <c r="O8" s="158"/>
      <c r="P8" s="159"/>
      <c r="Q8" s="78"/>
      <c r="R8" s="78"/>
      <c r="S8" s="78"/>
      <c r="T8" s="78"/>
      <c r="U8" s="78"/>
      <c r="V8" s="78"/>
      <c r="W8" s="160"/>
    </row>
    <row r="9" ht="20.4" customHeight="1" spans="1:23">
      <c r="A9" s="148"/>
      <c r="B9" s="75" t="s">
        <v>196</v>
      </c>
      <c r="C9" s="75"/>
      <c r="D9" s="115" t="s">
        <v>176</v>
      </c>
      <c r="E9" s="117"/>
      <c r="F9" s="117"/>
      <c r="G9" s="117"/>
      <c r="H9" s="117"/>
      <c r="I9" s="117"/>
      <c r="J9" s="117"/>
      <c r="K9" s="117"/>
      <c r="L9" s="117"/>
      <c r="M9" s="117"/>
      <c r="N9" s="116"/>
      <c r="O9" s="158"/>
      <c r="P9" s="159"/>
      <c r="Q9" s="78"/>
      <c r="R9" s="78"/>
      <c r="S9" s="78"/>
      <c r="T9" s="78"/>
      <c r="U9" s="78"/>
      <c r="V9" s="78"/>
      <c r="W9" s="160"/>
    </row>
    <row r="10" ht="20.4" customHeight="1" spans="1:23">
      <c r="A10" s="148"/>
      <c r="B10" s="75"/>
      <c r="C10" s="75"/>
      <c r="D10" s="150" t="s">
        <v>195</v>
      </c>
      <c r="E10" s="139"/>
      <c r="F10" s="139"/>
      <c r="G10" s="139"/>
      <c r="H10" s="139"/>
      <c r="I10" s="139"/>
      <c r="J10" s="139"/>
      <c r="K10" s="139"/>
      <c r="L10" s="139"/>
      <c r="M10" s="139"/>
      <c r="N10" s="141"/>
      <c r="O10" s="65"/>
      <c r="P10" s="74"/>
      <c r="Q10" s="96"/>
      <c r="R10" s="96"/>
      <c r="S10" s="96"/>
      <c r="T10" s="96"/>
      <c r="U10" s="96"/>
      <c r="V10" s="96"/>
      <c r="W10" s="97"/>
    </row>
    <row r="11" ht="20.4" customHeight="1" spans="1:24">
      <c r="A11" s="148" t="s">
        <v>101</v>
      </c>
      <c r="B11" s="118" t="s">
        <v>161</v>
      </c>
      <c r="C11" s="118"/>
      <c r="D11" s="118" t="s">
        <v>160</v>
      </c>
      <c r="E11" s="118" t="s">
        <v>191</v>
      </c>
      <c r="F11" s="118" t="s">
        <v>88</v>
      </c>
      <c r="G11" s="118" t="s">
        <v>192</v>
      </c>
      <c r="H11" s="118" t="s">
        <v>165</v>
      </c>
      <c r="I11" s="118" t="s">
        <v>168</v>
      </c>
      <c r="J11" s="118" t="s">
        <v>169</v>
      </c>
      <c r="K11" s="118" t="s">
        <v>170</v>
      </c>
      <c r="L11" s="118" t="s">
        <v>171</v>
      </c>
      <c r="M11" s="118" t="s">
        <v>172</v>
      </c>
      <c r="N11" s="118" t="s">
        <v>173</v>
      </c>
      <c r="O11" s="157" t="s">
        <v>178</v>
      </c>
      <c r="P11" s="70" t="s">
        <v>193</v>
      </c>
      <c r="Q11" s="93"/>
      <c r="R11" s="93"/>
      <c r="S11" s="93"/>
      <c r="T11" s="93"/>
      <c r="U11" s="93"/>
      <c r="V11" s="93"/>
      <c r="W11" s="94"/>
      <c r="X11" s="161"/>
    </row>
    <row r="12" ht="20.4" customHeight="1" spans="1:24">
      <c r="A12" s="148"/>
      <c r="B12" s="118"/>
      <c r="C12" s="118"/>
      <c r="D12" s="95">
        <v>1</v>
      </c>
      <c r="E12" s="95">
        <v>3</v>
      </c>
      <c r="F12" s="149">
        <v>0.4</v>
      </c>
      <c r="G12" s="95">
        <v>10</v>
      </c>
      <c r="H12" s="95">
        <v>30</v>
      </c>
      <c r="I12" s="95"/>
      <c r="J12" s="95"/>
      <c r="K12" s="95"/>
      <c r="L12" s="95"/>
      <c r="M12" s="95"/>
      <c r="N12" s="95"/>
      <c r="O12" s="158"/>
      <c r="P12" s="159"/>
      <c r="Q12" s="78"/>
      <c r="R12" s="78"/>
      <c r="S12" s="78"/>
      <c r="T12" s="78"/>
      <c r="U12" s="78"/>
      <c r="V12" s="78"/>
      <c r="W12" s="160"/>
      <c r="X12" s="162"/>
    </row>
    <row r="13" ht="20.4" customHeight="1" spans="1:23">
      <c r="A13" s="148"/>
      <c r="B13" s="75" t="s">
        <v>197</v>
      </c>
      <c r="C13" s="75"/>
      <c r="D13" s="115" t="s">
        <v>176</v>
      </c>
      <c r="E13" s="117"/>
      <c r="F13" s="117"/>
      <c r="G13" s="117"/>
      <c r="H13" s="117"/>
      <c r="I13" s="117"/>
      <c r="J13" s="117"/>
      <c r="K13" s="117"/>
      <c r="L13" s="117"/>
      <c r="M13" s="117"/>
      <c r="N13" s="116"/>
      <c r="O13" s="158"/>
      <c r="P13" s="159"/>
      <c r="Q13" s="78"/>
      <c r="R13" s="78"/>
      <c r="S13" s="78"/>
      <c r="T13" s="78"/>
      <c r="U13" s="78"/>
      <c r="V13" s="78"/>
      <c r="W13" s="160"/>
    </row>
    <row r="14" ht="20.4" customHeight="1" spans="1:23">
      <c r="A14" s="148"/>
      <c r="B14" s="75"/>
      <c r="C14" s="75"/>
      <c r="D14" s="150" t="s">
        <v>195</v>
      </c>
      <c r="E14" s="139"/>
      <c r="F14" s="139"/>
      <c r="G14" s="139"/>
      <c r="H14" s="139"/>
      <c r="I14" s="139"/>
      <c r="J14" s="139"/>
      <c r="K14" s="139"/>
      <c r="L14" s="139"/>
      <c r="M14" s="139"/>
      <c r="N14" s="141"/>
      <c r="O14" s="65"/>
      <c r="P14" s="74"/>
      <c r="Q14" s="96"/>
      <c r="R14" s="96"/>
      <c r="S14" s="96"/>
      <c r="T14" s="96"/>
      <c r="U14" s="96"/>
      <c r="V14" s="96"/>
      <c r="W14" s="97"/>
    </row>
    <row r="15" ht="20.4" customHeight="1" spans="1:23">
      <c r="A15" s="148" t="s">
        <v>104</v>
      </c>
      <c r="B15" s="118" t="s">
        <v>161</v>
      </c>
      <c r="C15" s="118"/>
      <c r="D15" s="118" t="s">
        <v>160</v>
      </c>
      <c r="E15" s="118" t="s">
        <v>191</v>
      </c>
      <c r="F15" s="118" t="s">
        <v>88</v>
      </c>
      <c r="G15" s="118" t="s">
        <v>192</v>
      </c>
      <c r="H15" s="118" t="s">
        <v>165</v>
      </c>
      <c r="I15" s="118" t="s">
        <v>168</v>
      </c>
      <c r="J15" s="118" t="s">
        <v>169</v>
      </c>
      <c r="K15" s="118" t="s">
        <v>170</v>
      </c>
      <c r="L15" s="118" t="s">
        <v>171</v>
      </c>
      <c r="M15" s="118" t="s">
        <v>172</v>
      </c>
      <c r="N15" s="118" t="s">
        <v>173</v>
      </c>
      <c r="O15" s="157" t="s">
        <v>178</v>
      </c>
      <c r="P15" s="70" t="s">
        <v>193</v>
      </c>
      <c r="Q15" s="93"/>
      <c r="R15" s="93"/>
      <c r="S15" s="93"/>
      <c r="T15" s="93"/>
      <c r="U15" s="93"/>
      <c r="V15" s="93"/>
      <c r="W15" s="94"/>
    </row>
    <row r="16" ht="20.4" customHeight="1" spans="1:23">
      <c r="A16" s="148"/>
      <c r="B16" s="118"/>
      <c r="C16" s="118"/>
      <c r="D16" s="95">
        <v>1</v>
      </c>
      <c r="E16" s="95">
        <v>2</v>
      </c>
      <c r="F16" s="149">
        <v>0.3</v>
      </c>
      <c r="G16" s="95">
        <v>8</v>
      </c>
      <c r="H16" s="95">
        <v>20</v>
      </c>
      <c r="I16" s="95"/>
      <c r="J16" s="95"/>
      <c r="K16" s="95"/>
      <c r="L16" s="95"/>
      <c r="M16" s="95"/>
      <c r="N16" s="95"/>
      <c r="O16" s="158"/>
      <c r="P16" s="159"/>
      <c r="Q16" s="78"/>
      <c r="R16" s="78"/>
      <c r="S16" s="78"/>
      <c r="T16" s="78"/>
      <c r="U16" s="78"/>
      <c r="V16" s="78"/>
      <c r="W16" s="160"/>
    </row>
    <row r="17" ht="20.4" customHeight="1" spans="1:23">
      <c r="A17" s="148"/>
      <c r="B17" s="75" t="s">
        <v>198</v>
      </c>
      <c r="C17" s="75"/>
      <c r="D17" s="115" t="s">
        <v>176</v>
      </c>
      <c r="E17" s="117"/>
      <c r="F17" s="117"/>
      <c r="G17" s="117"/>
      <c r="H17" s="117"/>
      <c r="I17" s="117"/>
      <c r="J17" s="117"/>
      <c r="K17" s="117"/>
      <c r="L17" s="117"/>
      <c r="M17" s="117"/>
      <c r="N17" s="116"/>
      <c r="O17" s="158"/>
      <c r="P17" s="159"/>
      <c r="Q17" s="78"/>
      <c r="R17" s="78"/>
      <c r="S17" s="78"/>
      <c r="T17" s="78"/>
      <c r="U17" s="78"/>
      <c r="V17" s="78"/>
      <c r="W17" s="160"/>
    </row>
    <row r="18" ht="20.4" customHeight="1" spans="1:23">
      <c r="A18" s="148"/>
      <c r="B18" s="75"/>
      <c r="C18" s="75"/>
      <c r="D18" s="150" t="s">
        <v>195</v>
      </c>
      <c r="E18" s="139"/>
      <c r="F18" s="139"/>
      <c r="G18" s="139"/>
      <c r="H18" s="139"/>
      <c r="I18" s="139"/>
      <c r="J18" s="139"/>
      <c r="K18" s="139"/>
      <c r="L18" s="139"/>
      <c r="M18" s="139"/>
      <c r="N18" s="141"/>
      <c r="O18" s="65"/>
      <c r="P18" s="74"/>
      <c r="Q18" s="96"/>
      <c r="R18" s="96"/>
      <c r="S18" s="96"/>
      <c r="T18" s="96"/>
      <c r="U18" s="96"/>
      <c r="V18" s="96"/>
      <c r="W18" s="97"/>
    </row>
    <row r="19" ht="20.4" customHeight="1"/>
    <row r="20" ht="20.4" customHeight="1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D5:N5"/>
    <mergeCell ref="D6:N6"/>
    <mergeCell ref="D9:N9"/>
    <mergeCell ref="D10:N10"/>
    <mergeCell ref="D13:N13"/>
    <mergeCell ref="D14:N14"/>
    <mergeCell ref="D17:N17"/>
    <mergeCell ref="D18:N18"/>
    <mergeCell ref="A3:A6"/>
    <mergeCell ref="A7:A10"/>
    <mergeCell ref="A11:A14"/>
    <mergeCell ref="A15:A18"/>
    <mergeCell ref="O3:O6"/>
    <mergeCell ref="O7:O10"/>
    <mergeCell ref="O11:O14"/>
    <mergeCell ref="O15:O18"/>
    <mergeCell ref="O1:P2"/>
    <mergeCell ref="Q1:R2"/>
    <mergeCell ref="S1:T2"/>
    <mergeCell ref="U1:W2"/>
    <mergeCell ref="P3:W6"/>
    <mergeCell ref="P11:W14"/>
    <mergeCell ref="B15:C16"/>
    <mergeCell ref="B17:C18"/>
    <mergeCell ref="P15:W18"/>
    <mergeCell ref="B13:C14"/>
    <mergeCell ref="P7:W10"/>
    <mergeCell ref="A1:N2"/>
    <mergeCell ref="B3:C4"/>
    <mergeCell ref="B9:C10"/>
    <mergeCell ref="B11:C12"/>
    <mergeCell ref="B5:C6"/>
    <mergeCell ref="B7:C8"/>
  </mergeCell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F35"/>
  <sheetViews>
    <sheetView topLeftCell="L1" workbookViewId="0">
      <selection activeCell="V14" sqref="V14"/>
    </sheetView>
  </sheetViews>
  <sheetFormatPr defaultColWidth="9" defaultRowHeight="13.8"/>
  <cols>
    <col min="2" max="2" width="8.88888888888889" customWidth="1"/>
  </cols>
  <sheetData>
    <row r="1" s="137" customFormat="1" ht="15" customHeight="1" spans="1:32">
      <c r="A1" s="56" t="s">
        <v>79</v>
      </c>
      <c r="B1" s="56"/>
      <c r="C1" s="56"/>
      <c r="D1" s="56"/>
      <c r="E1" s="56"/>
      <c r="F1" s="56"/>
      <c r="G1" s="56"/>
      <c r="H1" s="56"/>
      <c r="I1" s="56"/>
      <c r="J1" s="56"/>
      <c r="L1" s="56" t="s">
        <v>199</v>
      </c>
      <c r="M1" s="56"/>
      <c r="N1" s="56"/>
      <c r="O1" s="56"/>
      <c r="P1" s="56"/>
      <c r="Q1" s="56"/>
      <c r="R1" s="56"/>
      <c r="S1" s="56"/>
      <c r="T1" s="56"/>
      <c r="U1" s="56"/>
      <c r="W1" s="56" t="s">
        <v>200</v>
      </c>
      <c r="X1" s="56"/>
      <c r="Y1" s="56"/>
      <c r="Z1" s="56"/>
      <c r="AA1" s="56"/>
      <c r="AB1" s="56"/>
      <c r="AC1" s="56"/>
      <c r="AD1" s="56"/>
      <c r="AE1" s="56"/>
      <c r="AF1" s="56"/>
    </row>
    <row r="2" s="137" customFormat="1" ht="15" customHeight="1" spans="1:32">
      <c r="A2" s="56"/>
      <c r="B2" s="56"/>
      <c r="C2" s="56"/>
      <c r="D2" s="56"/>
      <c r="E2" s="56"/>
      <c r="F2" s="56"/>
      <c r="G2" s="56"/>
      <c r="H2" s="56"/>
      <c r="I2" s="56"/>
      <c r="J2" s="56"/>
      <c r="L2" s="56"/>
      <c r="M2" s="56"/>
      <c r="N2" s="56"/>
      <c r="O2" s="56"/>
      <c r="P2" s="56"/>
      <c r="Q2" s="56"/>
      <c r="R2" s="56"/>
      <c r="S2" s="56"/>
      <c r="T2" s="56"/>
      <c r="U2" s="56"/>
      <c r="W2" s="56"/>
      <c r="X2" s="56"/>
      <c r="Y2" s="56"/>
      <c r="Z2" s="56"/>
      <c r="AA2" s="56"/>
      <c r="AB2" s="56"/>
      <c r="AC2" s="56"/>
      <c r="AD2" s="56"/>
      <c r="AE2" s="56"/>
      <c r="AF2" s="56"/>
    </row>
    <row r="3" s="137" customFormat="1" ht="15.9" spans="1:32">
      <c r="A3" s="118" t="s">
        <v>161</v>
      </c>
      <c r="B3" s="118" t="s">
        <v>164</v>
      </c>
      <c r="C3" s="118" t="s">
        <v>201</v>
      </c>
      <c r="D3" s="118" t="s">
        <v>202</v>
      </c>
      <c r="E3" s="118" t="s">
        <v>203</v>
      </c>
      <c r="F3" s="118" t="s">
        <v>204</v>
      </c>
      <c r="G3" s="118" t="s">
        <v>82</v>
      </c>
      <c r="H3" s="118" t="s">
        <v>205</v>
      </c>
      <c r="I3" s="118"/>
      <c r="J3" s="118"/>
      <c r="L3" s="118" t="s">
        <v>161</v>
      </c>
      <c r="M3" s="118" t="s">
        <v>164</v>
      </c>
      <c r="N3" s="118" t="s">
        <v>201</v>
      </c>
      <c r="O3" s="118" t="s">
        <v>202</v>
      </c>
      <c r="P3" s="118" t="s">
        <v>203</v>
      </c>
      <c r="Q3" s="118" t="s">
        <v>204</v>
      </c>
      <c r="R3" s="118" t="s">
        <v>82</v>
      </c>
      <c r="S3" s="118" t="s">
        <v>205</v>
      </c>
      <c r="T3" s="118"/>
      <c r="U3" s="118"/>
      <c r="W3" s="118" t="s">
        <v>161</v>
      </c>
      <c r="X3" s="118" t="s">
        <v>164</v>
      </c>
      <c r="Y3" s="118" t="s">
        <v>201</v>
      </c>
      <c r="Z3" s="118" t="s">
        <v>202</v>
      </c>
      <c r="AA3" s="118" t="s">
        <v>203</v>
      </c>
      <c r="AB3" s="118" t="s">
        <v>204</v>
      </c>
      <c r="AC3" s="118" t="s">
        <v>82</v>
      </c>
      <c r="AD3" s="118" t="s">
        <v>205</v>
      </c>
      <c r="AE3" s="118"/>
      <c r="AF3" s="118"/>
    </row>
    <row r="4" ht="15.3" spans="1:32">
      <c r="A4" s="138" t="s">
        <v>11</v>
      </c>
      <c r="B4" s="139"/>
      <c r="C4" s="139"/>
      <c r="D4" s="139"/>
      <c r="E4" s="139"/>
      <c r="F4" s="139"/>
      <c r="G4" s="139"/>
      <c r="H4" s="139"/>
      <c r="I4" s="139"/>
      <c r="J4" s="141"/>
      <c r="L4" s="138" t="s">
        <v>206</v>
      </c>
      <c r="M4" s="139"/>
      <c r="N4" s="139"/>
      <c r="O4" s="139"/>
      <c r="P4" s="139"/>
      <c r="Q4" s="139"/>
      <c r="R4" s="139"/>
      <c r="S4" s="139"/>
      <c r="T4" s="139"/>
      <c r="U4" s="141"/>
      <c r="W4" s="75" t="s">
        <v>207</v>
      </c>
      <c r="X4" s="75" t="s">
        <v>46</v>
      </c>
      <c r="Y4" s="75">
        <f ca="1">LOOKUP(INDIRECT("rc[-1]",),INDIRECT("总表"&amp;"!A29:A34"),INDIRECT("总表"&amp;"!B29:B34"))</f>
        <v>30</v>
      </c>
      <c r="Z4" s="75">
        <v>30</v>
      </c>
      <c r="AA4" s="75"/>
      <c r="AB4" s="75"/>
      <c r="AC4" s="108">
        <f ca="1">IF(SUM(Y4:AA4)&lt;=50,SUM(Y4:AA4),IF(SUM(Y4:AA4)&lt;=80,(SUM(Y4:AA4)-50)*0.7+50,(SUM(Y4:AA4)-80)*0.4+71))+AB4</f>
        <v>57</v>
      </c>
      <c r="AD4" s="75">
        <v>0</v>
      </c>
      <c r="AE4" s="75" t="s">
        <v>23</v>
      </c>
      <c r="AF4" s="95">
        <f t="shared" ref="AF4:AF28" si="0">IF(Z4&lt;10,"6",IF(Z4&lt;20,"9",IF(Z4&lt;30,"12",18)))</f>
        <v>18</v>
      </c>
    </row>
    <row r="5" ht="15.3" spans="1:32">
      <c r="A5" s="95" t="s">
        <v>76</v>
      </c>
      <c r="B5" s="95" t="s">
        <v>11</v>
      </c>
      <c r="C5" s="95">
        <f ca="1">LOOKUP(INDIRECT("rc[-1]",),INDIRECT("总表"&amp;"!A29:A34"),INDIRECT("总表"&amp;"!B29:B34"))</f>
        <v>50</v>
      </c>
      <c r="D5" s="95">
        <v>1</v>
      </c>
      <c r="E5" s="95"/>
      <c r="F5" s="95"/>
      <c r="G5" s="108">
        <f ca="1">IF(SUM(C5:E5)&lt;=50,SUM(C5:E5),IF(SUM(C5:E5)&lt;=80,(SUM(C5:E5)-50)*0.7+50,(SUM(C5:E5)-80)*0.4+71))+F5</f>
        <v>50.7</v>
      </c>
      <c r="H5" s="95">
        <v>0</v>
      </c>
      <c r="I5" s="95" t="s">
        <v>23</v>
      </c>
      <c r="J5" s="95" t="str">
        <f t="shared" ref="J5:J13" si="1">IF(D5&lt;10,"6",IF(D5&lt;20,"9",IF(D5&lt;30,"12",18)))</f>
        <v>6</v>
      </c>
      <c r="L5" s="95" t="s">
        <v>208</v>
      </c>
      <c r="M5" s="95" t="s">
        <v>11</v>
      </c>
      <c r="N5" s="95">
        <f ca="1">LOOKUP(INDIRECT("rc[-1]",),INDIRECT("总表"&amp;"!A29:A34"),INDIRECT("总表"&amp;"!B29:B34"))</f>
        <v>50</v>
      </c>
      <c r="O5" s="95">
        <v>1</v>
      </c>
      <c r="P5" s="95"/>
      <c r="Q5" s="95"/>
      <c r="R5" s="108">
        <f ca="1">IF(SUM(N5:P5)&lt;=50,SUM(N5:P5),IF(SUM(N5:P5)&lt;=80,(SUM(N5:P5)-50)*0.7+50,(SUM(N5:P5)-80)*0.4+71))+Q5</f>
        <v>50.7</v>
      </c>
      <c r="S5" s="95">
        <v>0</v>
      </c>
      <c r="T5" s="95" t="s">
        <v>23</v>
      </c>
      <c r="U5" s="95" t="str">
        <f t="shared" ref="U5:U32" si="2">IF(O5&lt;10,"6",IF(O5&lt;20,"9",IF(O5&lt;30,"12",18)))</f>
        <v>6</v>
      </c>
      <c r="W5" s="75" t="s">
        <v>209</v>
      </c>
      <c r="X5" s="75" t="s">
        <v>46</v>
      </c>
      <c r="Y5" s="75">
        <f ca="1" t="shared" ref="Y5:Y28" si="3">LOOKUP(INDIRECT("rc[-1]",),INDIRECT("总表"&amp;"!A29:A34"),INDIRECT("总表"&amp;"!B29:B34"))</f>
        <v>30</v>
      </c>
      <c r="Z5" s="75">
        <v>30</v>
      </c>
      <c r="AA5" s="75"/>
      <c r="AB5" s="75"/>
      <c r="AC5" s="108">
        <f ca="1" t="shared" ref="AC5:AC28" si="4">IF(SUM(Y5:AA5)&lt;=50,SUM(Y5:AA5),IF(SUM(Y5:AA5)&lt;=80,(SUM(Y5:AA5)-50)*0.7+50,(SUM(Y5:AA5)-80)*0.4+71))+AB5</f>
        <v>57</v>
      </c>
      <c r="AD5" s="75">
        <v>0</v>
      </c>
      <c r="AE5" s="75" t="s">
        <v>23</v>
      </c>
      <c r="AF5" s="95">
        <f t="shared" si="0"/>
        <v>18</v>
      </c>
    </row>
    <row r="6" ht="15.3" spans="1:32">
      <c r="A6" s="95" t="s">
        <v>210</v>
      </c>
      <c r="B6" s="95" t="s">
        <v>11</v>
      </c>
      <c r="C6" s="95">
        <f ca="1" t="shared" ref="C6:C7" si="5">LOOKUP(INDIRECT("rc[-1]",),INDIRECT("总表"&amp;"!A29:A34"),INDIRECT("总表"&amp;"!B29:B34"))</f>
        <v>50</v>
      </c>
      <c r="D6" s="95">
        <v>1</v>
      </c>
      <c r="E6" s="95"/>
      <c r="F6" s="95"/>
      <c r="G6" s="108">
        <f ca="1" t="shared" ref="G6:G7" si="6">IF(SUM(C6:E6)&lt;=50,SUM(C6:E6),IF(SUM(C6:E6)&lt;=80,(SUM(C6:E6)-50)*0.7+50,(SUM(C6:E6)-80)*0.4+71))+F6</f>
        <v>50.7</v>
      </c>
      <c r="H6" s="95">
        <v>0</v>
      </c>
      <c r="I6" s="95" t="s">
        <v>23</v>
      </c>
      <c r="J6" s="95" t="str">
        <f t="shared" si="1"/>
        <v>6</v>
      </c>
      <c r="L6" s="95" t="s">
        <v>211</v>
      </c>
      <c r="M6" s="95" t="s">
        <v>31</v>
      </c>
      <c r="N6" s="95">
        <f ca="1" t="shared" ref="N6:N9" si="7">LOOKUP(INDIRECT("rc[-1]",),INDIRECT("总表"&amp;"!A29:A34"),INDIRECT("总表"&amp;"!B29:B34"))</f>
        <v>50</v>
      </c>
      <c r="O6" s="95">
        <v>1</v>
      </c>
      <c r="P6" s="95"/>
      <c r="Q6" s="95"/>
      <c r="R6" s="108">
        <f ca="1" t="shared" ref="R6:R9" si="8">IF(SUM(N6:P6)&lt;=50,SUM(N6:P6),IF(SUM(N6:P6)&lt;=80,(SUM(N6:P6)-50)*0.7+50,(SUM(N6:P6)-80)*0.4+71))+Q6</f>
        <v>50.7</v>
      </c>
      <c r="S6" s="95">
        <v>0</v>
      </c>
      <c r="T6" s="95" t="s">
        <v>23</v>
      </c>
      <c r="U6" s="95" t="str">
        <f t="shared" si="2"/>
        <v>6</v>
      </c>
      <c r="W6" s="75" t="s">
        <v>212</v>
      </c>
      <c r="X6" s="75" t="s">
        <v>46</v>
      </c>
      <c r="Y6" s="75">
        <f ca="1" t="shared" si="3"/>
        <v>30</v>
      </c>
      <c r="Z6" s="76">
        <v>1</v>
      </c>
      <c r="AA6" s="75"/>
      <c r="AB6" s="75"/>
      <c r="AC6" s="108">
        <f ca="1" t="shared" si="4"/>
        <v>31</v>
      </c>
      <c r="AD6" s="76">
        <v>0</v>
      </c>
      <c r="AE6" s="76" t="s">
        <v>23</v>
      </c>
      <c r="AF6" s="69" t="str">
        <f t="shared" si="0"/>
        <v>6</v>
      </c>
    </row>
    <row r="7" ht="15.3" spans="1:32">
      <c r="A7" s="95" t="s">
        <v>213</v>
      </c>
      <c r="B7" s="95" t="s">
        <v>11</v>
      </c>
      <c r="C7" s="95">
        <f ca="1" t="shared" si="5"/>
        <v>50</v>
      </c>
      <c r="D7" s="95">
        <v>1</v>
      </c>
      <c r="E7" s="95"/>
      <c r="F7" s="95"/>
      <c r="G7" s="108">
        <f ca="1" t="shared" si="6"/>
        <v>50.7</v>
      </c>
      <c r="H7" s="95">
        <v>0</v>
      </c>
      <c r="I7" s="95" t="s">
        <v>23</v>
      </c>
      <c r="J7" s="95" t="str">
        <f t="shared" si="1"/>
        <v>6</v>
      </c>
      <c r="L7" s="95" t="s">
        <v>214</v>
      </c>
      <c r="M7" s="95" t="s">
        <v>11</v>
      </c>
      <c r="N7" s="95">
        <f ca="1" t="shared" si="7"/>
        <v>50</v>
      </c>
      <c r="O7" s="95">
        <v>1</v>
      </c>
      <c r="P7" s="95"/>
      <c r="Q7" s="95"/>
      <c r="R7" s="108">
        <f ca="1" t="shared" si="8"/>
        <v>50.7</v>
      </c>
      <c r="S7" s="95">
        <v>0</v>
      </c>
      <c r="T7" s="95" t="s">
        <v>23</v>
      </c>
      <c r="U7" s="95" t="str">
        <f t="shared" si="2"/>
        <v>6</v>
      </c>
      <c r="W7" s="75" t="s">
        <v>215</v>
      </c>
      <c r="X7" s="75" t="s">
        <v>216</v>
      </c>
      <c r="Y7" s="75">
        <f>坐骑!F4</f>
        <v>25</v>
      </c>
      <c r="Z7" s="80"/>
      <c r="AA7" s="75"/>
      <c r="AB7" s="75"/>
      <c r="AC7" s="108">
        <f>IF(SUM(Y7,Z6,AA7)&lt;=50,SUM(Y7,Z6,AA7),IF(SUM(Y7,Z6,AA7)&lt;=80,(SUM(Y7,Z6,AA7)-50)*0.7+50,(SUM(Y7,Z6,AA7)-80)*0.4+71))+AB7</f>
        <v>26</v>
      </c>
      <c r="AD7" s="80"/>
      <c r="AE7" s="80"/>
      <c r="AF7" s="73"/>
    </row>
    <row r="8" ht="15.3" spans="1:32">
      <c r="A8" s="138" t="s">
        <v>31</v>
      </c>
      <c r="B8" s="140"/>
      <c r="C8" s="140"/>
      <c r="D8" s="140"/>
      <c r="E8" s="140"/>
      <c r="F8" s="140"/>
      <c r="G8" s="140"/>
      <c r="H8" s="140"/>
      <c r="I8" s="140"/>
      <c r="J8" s="142"/>
      <c r="L8" s="75" t="s">
        <v>217</v>
      </c>
      <c r="M8" s="95" t="s">
        <v>31</v>
      </c>
      <c r="N8" s="95">
        <f ca="1" t="shared" si="7"/>
        <v>50</v>
      </c>
      <c r="O8" s="95">
        <v>1</v>
      </c>
      <c r="P8" s="95"/>
      <c r="Q8" s="95"/>
      <c r="R8" s="108">
        <f ca="1" t="shared" si="8"/>
        <v>50.7</v>
      </c>
      <c r="S8" s="95">
        <v>0</v>
      </c>
      <c r="T8" s="95" t="s">
        <v>23</v>
      </c>
      <c r="U8" s="95" t="str">
        <f t="shared" si="2"/>
        <v>6</v>
      </c>
      <c r="W8" s="75"/>
      <c r="X8" s="75" t="s">
        <v>46</v>
      </c>
      <c r="Y8" s="75">
        <f ca="1" t="shared" si="3"/>
        <v>30</v>
      </c>
      <c r="Z8" s="75">
        <v>1</v>
      </c>
      <c r="AA8" s="75"/>
      <c r="AB8" s="75"/>
      <c r="AC8" s="108">
        <f ca="1" t="shared" si="4"/>
        <v>31</v>
      </c>
      <c r="AD8" s="75">
        <v>0</v>
      </c>
      <c r="AE8" s="75" t="s">
        <v>23</v>
      </c>
      <c r="AF8" s="95" t="str">
        <f t="shared" si="0"/>
        <v>6</v>
      </c>
    </row>
    <row r="9" ht="15" customHeight="1" spans="1:32">
      <c r="A9" s="95" t="s">
        <v>77</v>
      </c>
      <c r="B9" s="95" t="s">
        <v>31</v>
      </c>
      <c r="C9" s="95">
        <f ca="1">LOOKUP(INDIRECT("rc[-1]",),INDIRECT("总表"&amp;"!A29:A34"),INDIRECT("总表"&amp;"!B29:B34"))</f>
        <v>50</v>
      </c>
      <c r="D9" s="95">
        <v>1</v>
      </c>
      <c r="E9" s="95"/>
      <c r="F9" s="95"/>
      <c r="G9" s="108">
        <f ca="1">IF(SUM(C9:E9)&lt;=50,SUM(C9:E9),IF(SUM(C9:E9)&lt;=80,(SUM(C9:E9)-50)*0.7+50,(SUM(C9:E9)-80)*0.4+71))+F9</f>
        <v>50.7</v>
      </c>
      <c r="H9" s="95">
        <v>0</v>
      </c>
      <c r="I9" s="95" t="s">
        <v>23</v>
      </c>
      <c r="J9" s="95" t="str">
        <f t="shared" si="1"/>
        <v>6</v>
      </c>
      <c r="L9" s="95" t="s">
        <v>218</v>
      </c>
      <c r="M9" s="95" t="s">
        <v>31</v>
      </c>
      <c r="N9" s="95">
        <f ca="1" t="shared" si="7"/>
        <v>50</v>
      </c>
      <c r="O9" s="95">
        <v>1</v>
      </c>
      <c r="P9" s="95"/>
      <c r="Q9" s="95"/>
      <c r="R9" s="108">
        <f ca="1" t="shared" si="8"/>
        <v>50.7</v>
      </c>
      <c r="S9" s="95">
        <v>0</v>
      </c>
      <c r="T9" s="95" t="s">
        <v>23</v>
      </c>
      <c r="U9" s="95" t="str">
        <f t="shared" si="2"/>
        <v>6</v>
      </c>
      <c r="W9" s="75"/>
      <c r="X9" s="75" t="s">
        <v>46</v>
      </c>
      <c r="Y9" s="75">
        <f ca="1" t="shared" si="3"/>
        <v>30</v>
      </c>
      <c r="Z9" s="75">
        <v>1</v>
      </c>
      <c r="AA9" s="75"/>
      <c r="AB9" s="75"/>
      <c r="AC9" s="108">
        <f ca="1" t="shared" si="4"/>
        <v>31</v>
      </c>
      <c r="AD9" s="75">
        <v>0</v>
      </c>
      <c r="AE9" s="75" t="s">
        <v>23</v>
      </c>
      <c r="AF9" s="95" t="str">
        <f t="shared" si="0"/>
        <v>6</v>
      </c>
    </row>
    <row r="10" ht="15" customHeight="1" spans="1:32">
      <c r="A10" s="95" t="s">
        <v>219</v>
      </c>
      <c r="B10" s="95" t="s">
        <v>31</v>
      </c>
      <c r="C10" s="95">
        <f ca="1" t="shared" ref="C10:C13" si="9">LOOKUP(INDIRECT("rc[-1]",),INDIRECT("总表"&amp;"!A29:A34"),INDIRECT("总表"&amp;"!B29:B34"))</f>
        <v>50</v>
      </c>
      <c r="D10" s="95">
        <v>1</v>
      </c>
      <c r="E10" s="95"/>
      <c r="F10" s="95"/>
      <c r="G10" s="108">
        <f ca="1" t="shared" ref="G10:G13" si="10">IF(SUM(C10:E10)&lt;=50,SUM(C10:E10),IF(SUM(C10:E10)&lt;=80,(SUM(C10:E10)-50)*0.7+50,(SUM(C10:E10)-80)*0.4+71))+F10</f>
        <v>50.7</v>
      </c>
      <c r="H10" s="95">
        <v>0</v>
      </c>
      <c r="I10" s="95" t="s">
        <v>23</v>
      </c>
      <c r="J10" s="95" t="str">
        <f t="shared" si="1"/>
        <v>6</v>
      </c>
      <c r="L10" s="138" t="s">
        <v>220</v>
      </c>
      <c r="M10" s="140"/>
      <c r="N10" s="140"/>
      <c r="O10" s="140"/>
      <c r="P10" s="140"/>
      <c r="Q10" s="140"/>
      <c r="R10" s="140"/>
      <c r="S10" s="140"/>
      <c r="T10" s="140"/>
      <c r="U10" s="142"/>
      <c r="W10" s="75"/>
      <c r="X10" s="75" t="s">
        <v>46</v>
      </c>
      <c r="Y10" s="75">
        <f ca="1" t="shared" si="3"/>
        <v>30</v>
      </c>
      <c r="Z10" s="75">
        <v>1</v>
      </c>
      <c r="AA10" s="75"/>
      <c r="AB10" s="75"/>
      <c r="AC10" s="108">
        <f ca="1" t="shared" si="4"/>
        <v>31</v>
      </c>
      <c r="AD10" s="75">
        <v>0</v>
      </c>
      <c r="AE10" s="75" t="s">
        <v>23</v>
      </c>
      <c r="AF10" s="95" t="str">
        <f t="shared" si="0"/>
        <v>6</v>
      </c>
    </row>
    <row r="11" ht="15" customHeight="1" spans="1:32">
      <c r="A11" s="95" t="s">
        <v>221</v>
      </c>
      <c r="B11" s="95" t="s">
        <v>31</v>
      </c>
      <c r="C11" s="95">
        <f ca="1" t="shared" si="9"/>
        <v>50</v>
      </c>
      <c r="D11" s="95">
        <v>1</v>
      </c>
      <c r="E11" s="95"/>
      <c r="F11" s="95"/>
      <c r="G11" s="108">
        <f ca="1" t="shared" si="10"/>
        <v>50.7</v>
      </c>
      <c r="H11" s="95">
        <v>0</v>
      </c>
      <c r="I11" s="95" t="s">
        <v>23</v>
      </c>
      <c r="J11" s="95" t="str">
        <f t="shared" si="1"/>
        <v>6</v>
      </c>
      <c r="L11" s="95" t="s">
        <v>222</v>
      </c>
      <c r="M11" s="95" t="s">
        <v>11</v>
      </c>
      <c r="N11" s="95">
        <f ca="1">LOOKUP(INDIRECT("rc[-1]",),INDIRECT("总表"&amp;"!A29:A34"),INDIRECT("总表"&amp;"!B29:B34"))</f>
        <v>50</v>
      </c>
      <c r="O11" s="95">
        <v>1</v>
      </c>
      <c r="P11" s="95"/>
      <c r="Q11" s="95"/>
      <c r="R11" s="108">
        <f ca="1">IF(SUM(N11:P11)&lt;=50,SUM(N11:P11),IF(SUM(N11:P11)&lt;=80,(SUM(N11:P11)-50)*0.7+50,(SUM(N11:P11)-80)*0.4+71))+Q11</f>
        <v>50.7</v>
      </c>
      <c r="S11" s="95">
        <v>0</v>
      </c>
      <c r="T11" s="95" t="s">
        <v>23</v>
      </c>
      <c r="U11" s="95" t="str">
        <f t="shared" si="2"/>
        <v>6</v>
      </c>
      <c r="W11" s="75"/>
      <c r="X11" s="75" t="s">
        <v>46</v>
      </c>
      <c r="Y11" s="75">
        <f ca="1" t="shared" si="3"/>
        <v>30</v>
      </c>
      <c r="Z11" s="75">
        <v>1</v>
      </c>
      <c r="AA11" s="75"/>
      <c r="AB11" s="75"/>
      <c r="AC11" s="108">
        <f ca="1" t="shared" si="4"/>
        <v>31</v>
      </c>
      <c r="AD11" s="75">
        <v>0</v>
      </c>
      <c r="AE11" s="75" t="s">
        <v>23</v>
      </c>
      <c r="AF11" s="95" t="str">
        <f t="shared" si="0"/>
        <v>6</v>
      </c>
    </row>
    <row r="12" ht="15.3" spans="1:32">
      <c r="A12" s="95" t="s">
        <v>223</v>
      </c>
      <c r="B12" s="95" t="s">
        <v>31</v>
      </c>
      <c r="C12" s="95">
        <f ca="1" t="shared" si="9"/>
        <v>50</v>
      </c>
      <c r="D12" s="95">
        <v>1</v>
      </c>
      <c r="E12" s="95"/>
      <c r="F12" s="95"/>
      <c r="G12" s="108">
        <f ca="1" t="shared" si="10"/>
        <v>50.7</v>
      </c>
      <c r="H12" s="95">
        <v>0</v>
      </c>
      <c r="I12" s="95" t="s">
        <v>23</v>
      </c>
      <c r="J12" s="95" t="str">
        <f t="shared" si="1"/>
        <v>6</v>
      </c>
      <c r="L12" s="95" t="s">
        <v>224</v>
      </c>
      <c r="M12" s="95" t="s">
        <v>31</v>
      </c>
      <c r="N12" s="95">
        <f ca="1" t="shared" ref="N12:N14" si="11">LOOKUP(INDIRECT("rc[-1]",),INDIRECT("总表"&amp;"!A29:A34"),INDIRECT("总表"&amp;"!B29:B34"))</f>
        <v>50</v>
      </c>
      <c r="O12" s="95">
        <v>1</v>
      </c>
      <c r="P12" s="95"/>
      <c r="Q12" s="95"/>
      <c r="R12" s="108">
        <f ca="1" t="shared" ref="R12:R14" si="12">IF(SUM(N12:P12)&lt;=50,SUM(N12:P12),IF(SUM(N12:P12)&lt;=80,(SUM(N12:P12)-50)*0.7+50,(SUM(N12:P12)-80)*0.4+71))+Q12</f>
        <v>50.7</v>
      </c>
      <c r="S12" s="95">
        <v>0</v>
      </c>
      <c r="T12" s="95" t="s">
        <v>23</v>
      </c>
      <c r="U12" s="95" t="str">
        <f t="shared" si="2"/>
        <v>6</v>
      </c>
      <c r="W12" s="75"/>
      <c r="X12" s="75" t="s">
        <v>46</v>
      </c>
      <c r="Y12" s="75">
        <f ca="1" t="shared" si="3"/>
        <v>30</v>
      </c>
      <c r="Z12" s="75">
        <v>1</v>
      </c>
      <c r="AA12" s="75"/>
      <c r="AB12" s="75"/>
      <c r="AC12" s="108">
        <f ca="1" t="shared" si="4"/>
        <v>31</v>
      </c>
      <c r="AD12" s="75">
        <v>0</v>
      </c>
      <c r="AE12" s="75" t="s">
        <v>23</v>
      </c>
      <c r="AF12" s="95" t="str">
        <f t="shared" si="0"/>
        <v>6</v>
      </c>
    </row>
    <row r="13" ht="15.3" spans="1:32">
      <c r="A13" s="95" t="s">
        <v>225</v>
      </c>
      <c r="B13" s="95" t="s">
        <v>31</v>
      </c>
      <c r="C13" s="95">
        <f ca="1" t="shared" si="9"/>
        <v>50</v>
      </c>
      <c r="D13" s="95">
        <v>1</v>
      </c>
      <c r="E13" s="95"/>
      <c r="F13" s="95"/>
      <c r="G13" s="108">
        <f ca="1" t="shared" si="10"/>
        <v>50.7</v>
      </c>
      <c r="H13" s="95">
        <v>0</v>
      </c>
      <c r="I13" s="95" t="s">
        <v>23</v>
      </c>
      <c r="J13" s="95" t="str">
        <f t="shared" si="1"/>
        <v>6</v>
      </c>
      <c r="L13" s="95" t="s">
        <v>226</v>
      </c>
      <c r="M13" s="95" t="s">
        <v>31</v>
      </c>
      <c r="N13" s="95">
        <f ca="1" t="shared" si="11"/>
        <v>50</v>
      </c>
      <c r="O13" s="95">
        <v>1</v>
      </c>
      <c r="P13" s="95"/>
      <c r="Q13" s="95"/>
      <c r="R13" s="108">
        <f ca="1" t="shared" si="12"/>
        <v>50.7</v>
      </c>
      <c r="S13" s="95">
        <v>0</v>
      </c>
      <c r="T13" s="95" t="s">
        <v>23</v>
      </c>
      <c r="U13" s="95" t="str">
        <f t="shared" si="2"/>
        <v>6</v>
      </c>
      <c r="W13" s="75"/>
      <c r="X13" s="75" t="s">
        <v>46</v>
      </c>
      <c r="Y13" s="75">
        <f ca="1" t="shared" si="3"/>
        <v>30</v>
      </c>
      <c r="Z13" s="75">
        <v>1</v>
      </c>
      <c r="AA13" s="75"/>
      <c r="AB13" s="75"/>
      <c r="AC13" s="108">
        <f ca="1" t="shared" si="4"/>
        <v>31</v>
      </c>
      <c r="AD13" s="75">
        <v>0</v>
      </c>
      <c r="AE13" s="75" t="s">
        <v>23</v>
      </c>
      <c r="AF13" s="95" t="str">
        <f t="shared" si="0"/>
        <v>6</v>
      </c>
    </row>
    <row r="14" ht="15.3" spans="1:32">
      <c r="A14" s="138" t="s">
        <v>40</v>
      </c>
      <c r="B14" s="140"/>
      <c r="C14" s="140"/>
      <c r="D14" s="140"/>
      <c r="E14" s="140"/>
      <c r="F14" s="140"/>
      <c r="G14" s="140"/>
      <c r="H14" s="140"/>
      <c r="I14" s="140"/>
      <c r="J14" s="142"/>
      <c r="L14" s="95" t="s">
        <v>227</v>
      </c>
      <c r="M14" s="95" t="s">
        <v>31</v>
      </c>
      <c r="N14" s="95">
        <f ca="1" t="shared" si="11"/>
        <v>50</v>
      </c>
      <c r="O14" s="95">
        <v>1</v>
      </c>
      <c r="P14" s="95"/>
      <c r="Q14" s="95"/>
      <c r="R14" s="108">
        <f ca="1" t="shared" si="12"/>
        <v>50.7</v>
      </c>
      <c r="S14" s="95">
        <v>0</v>
      </c>
      <c r="T14" s="95" t="s">
        <v>23</v>
      </c>
      <c r="U14" s="95" t="str">
        <f t="shared" si="2"/>
        <v>6</v>
      </c>
      <c r="W14" s="75"/>
      <c r="X14" s="75" t="s">
        <v>46</v>
      </c>
      <c r="Y14" s="75">
        <f ca="1" t="shared" si="3"/>
        <v>30</v>
      </c>
      <c r="Z14" s="75">
        <v>1</v>
      </c>
      <c r="AA14" s="75"/>
      <c r="AB14" s="75"/>
      <c r="AC14" s="108">
        <f ca="1" t="shared" si="4"/>
        <v>31</v>
      </c>
      <c r="AD14" s="75">
        <v>0</v>
      </c>
      <c r="AE14" s="75" t="s">
        <v>23</v>
      </c>
      <c r="AF14" s="95" t="str">
        <f t="shared" si="0"/>
        <v>6</v>
      </c>
    </row>
    <row r="15" ht="15.3" spans="1:32">
      <c r="A15" s="95" t="s">
        <v>228</v>
      </c>
      <c r="B15" s="95" t="s">
        <v>40</v>
      </c>
      <c r="C15" s="95">
        <f ca="1">LOOKUP(INDIRECT("rc[-1]",),INDIRECT("总表"&amp;"!A29:A34"),INDIRECT("总表"&amp;"!B29:B34"))</f>
        <v>40</v>
      </c>
      <c r="D15" s="95">
        <v>1</v>
      </c>
      <c r="E15" s="95"/>
      <c r="F15" s="95"/>
      <c r="G15" s="108">
        <f ca="1">IF(SUM(C15:E15)&lt;=50,SUM(C15:E15),IF(SUM(C15:E15)&lt;=80,(SUM(C15:E15)-50)*0.7+50,(SUM(C15:E15)-80)*0.4+71))+F15</f>
        <v>41</v>
      </c>
      <c r="H15" s="95">
        <v>0</v>
      </c>
      <c r="I15" s="95" t="s">
        <v>23</v>
      </c>
      <c r="J15" s="95" t="str">
        <f t="shared" ref="J15:J18" si="13">IF(D15&lt;10,"6",IF(D15&lt;20,"9",IF(D15&lt;30,"12",18)))</f>
        <v>6</v>
      </c>
      <c r="L15" s="138" t="s">
        <v>229</v>
      </c>
      <c r="M15" s="140"/>
      <c r="N15" s="140"/>
      <c r="O15" s="140"/>
      <c r="P15" s="140"/>
      <c r="Q15" s="140"/>
      <c r="R15" s="140"/>
      <c r="S15" s="140"/>
      <c r="T15" s="140"/>
      <c r="U15" s="142"/>
      <c r="W15" s="75"/>
      <c r="X15" s="75" t="s">
        <v>46</v>
      </c>
      <c r="Y15" s="75">
        <f ca="1" t="shared" si="3"/>
        <v>30</v>
      </c>
      <c r="Z15" s="75">
        <v>1</v>
      </c>
      <c r="AA15" s="75"/>
      <c r="AB15" s="75"/>
      <c r="AC15" s="108">
        <f ca="1" t="shared" si="4"/>
        <v>31</v>
      </c>
      <c r="AD15" s="75">
        <v>0</v>
      </c>
      <c r="AE15" s="75" t="s">
        <v>23</v>
      </c>
      <c r="AF15" s="95" t="str">
        <f t="shared" si="0"/>
        <v>6</v>
      </c>
    </row>
    <row r="16" ht="15.3" spans="1:32">
      <c r="A16" s="95" t="s">
        <v>230</v>
      </c>
      <c r="B16" s="95" t="s">
        <v>40</v>
      </c>
      <c r="C16" s="95">
        <f ca="1">LOOKUP(INDIRECT("rc[-1]",),INDIRECT("总表"&amp;"!A29:A34"),INDIRECT("总表"&amp;"!B29:B34"))</f>
        <v>40</v>
      </c>
      <c r="D16" s="95">
        <v>1</v>
      </c>
      <c r="E16" s="95"/>
      <c r="F16" s="95"/>
      <c r="G16" s="108">
        <f ca="1" t="shared" ref="G16:G18" si="14">IF(SUM(C16:E16)&lt;=50,SUM(C16:E16),IF(SUM(C16:E16)&lt;=80,(SUM(C16:E16)-50)*0.7+50,(SUM(C16:E16)-80)*0.4+71))+F16</f>
        <v>41</v>
      </c>
      <c r="H16" s="95">
        <v>0</v>
      </c>
      <c r="I16" s="95" t="s">
        <v>23</v>
      </c>
      <c r="J16" s="95" t="str">
        <f t="shared" si="13"/>
        <v>6</v>
      </c>
      <c r="L16" s="95" t="s">
        <v>231</v>
      </c>
      <c r="M16" s="95" t="s">
        <v>31</v>
      </c>
      <c r="N16" s="95">
        <f ca="1">LOOKUP(INDIRECT("rc[-1]",),INDIRECT("总表"&amp;"!A29:A34"),INDIRECT("总表"&amp;"!B29:B34"))</f>
        <v>50</v>
      </c>
      <c r="O16" s="95">
        <v>1</v>
      </c>
      <c r="P16" s="95"/>
      <c r="Q16" s="95"/>
      <c r="R16" s="108">
        <f ca="1">IF(SUM(N16:P16)&lt;=50,SUM(N16:P16),IF(SUM(N16:P16)&lt;=80,(SUM(N16:P16)-50)*0.7+50,(SUM(N16:P16)-80)*0.4+71))+Q16</f>
        <v>50.7</v>
      </c>
      <c r="S16" s="95">
        <v>0</v>
      </c>
      <c r="T16" s="95" t="s">
        <v>23</v>
      </c>
      <c r="U16" s="95" t="str">
        <f t="shared" si="2"/>
        <v>6</v>
      </c>
      <c r="W16" s="75"/>
      <c r="X16" s="75" t="s">
        <v>46</v>
      </c>
      <c r="Y16" s="75">
        <f ca="1" t="shared" si="3"/>
        <v>30</v>
      </c>
      <c r="Z16" s="75">
        <v>1</v>
      </c>
      <c r="AA16" s="75"/>
      <c r="AB16" s="75"/>
      <c r="AC16" s="108">
        <f ca="1" t="shared" si="4"/>
        <v>31</v>
      </c>
      <c r="AD16" s="75">
        <v>0</v>
      </c>
      <c r="AE16" s="75" t="s">
        <v>23</v>
      </c>
      <c r="AF16" s="95" t="str">
        <f t="shared" si="0"/>
        <v>6</v>
      </c>
    </row>
    <row r="17" ht="15.3" spans="1:32">
      <c r="A17" s="95" t="s">
        <v>80</v>
      </c>
      <c r="B17" s="95" t="s">
        <v>40</v>
      </c>
      <c r="C17" s="95">
        <f ca="1" t="shared" ref="C16:C18" si="15">LOOKUP(INDIRECT("rc[-1]",),INDIRECT("总表"&amp;"!A29:A34"),INDIRECT("总表"&amp;"!B29:B34"))</f>
        <v>40</v>
      </c>
      <c r="D17" s="95">
        <v>30</v>
      </c>
      <c r="E17" s="95"/>
      <c r="F17" s="95"/>
      <c r="G17" s="108">
        <f ca="1" t="shared" si="14"/>
        <v>64</v>
      </c>
      <c r="H17" s="95">
        <v>0</v>
      </c>
      <c r="I17" s="95" t="s">
        <v>23</v>
      </c>
      <c r="J17" s="95">
        <f t="shared" si="13"/>
        <v>18</v>
      </c>
      <c r="L17" s="95" t="s">
        <v>232</v>
      </c>
      <c r="M17" s="95" t="s">
        <v>11</v>
      </c>
      <c r="N17" s="95">
        <f ca="1" t="shared" ref="N17:N20" si="16">LOOKUP(INDIRECT("rc[-1]",),INDIRECT("总表"&amp;"!A29:A34"),INDIRECT("总表"&amp;"!B29:B34"))</f>
        <v>50</v>
      </c>
      <c r="O17" s="95">
        <v>1</v>
      </c>
      <c r="P17" s="95"/>
      <c r="Q17" s="95"/>
      <c r="R17" s="108">
        <f ca="1" t="shared" ref="R17:R20" si="17">IF(SUM(N17:P17)&lt;=50,SUM(N17:P17),IF(SUM(N17:P17)&lt;=80,(SUM(N17:P17)-50)*0.7+50,(SUM(N17:P17)-80)*0.4+71))+Q17</f>
        <v>50.7</v>
      </c>
      <c r="S17" s="95">
        <v>0</v>
      </c>
      <c r="T17" s="95" t="s">
        <v>23</v>
      </c>
      <c r="U17" s="95" t="str">
        <f t="shared" si="2"/>
        <v>6</v>
      </c>
      <c r="W17" s="75"/>
      <c r="X17" s="75" t="s">
        <v>46</v>
      </c>
      <c r="Y17" s="75">
        <f ca="1" t="shared" si="3"/>
        <v>30</v>
      </c>
      <c r="Z17" s="75">
        <v>1</v>
      </c>
      <c r="AA17" s="75"/>
      <c r="AB17" s="75"/>
      <c r="AC17" s="108">
        <f ca="1" t="shared" si="4"/>
        <v>31</v>
      </c>
      <c r="AD17" s="75">
        <v>0</v>
      </c>
      <c r="AE17" s="75" t="s">
        <v>23</v>
      </c>
      <c r="AF17" s="95" t="str">
        <f t="shared" si="0"/>
        <v>6</v>
      </c>
    </row>
    <row r="18" ht="15.3" spans="1:32">
      <c r="A18" s="95" t="s">
        <v>233</v>
      </c>
      <c r="B18" s="95" t="s">
        <v>40</v>
      </c>
      <c r="C18" s="95">
        <f ca="1" t="shared" si="15"/>
        <v>40</v>
      </c>
      <c r="D18" s="95">
        <v>1</v>
      </c>
      <c r="E18" s="95"/>
      <c r="F18" s="95"/>
      <c r="G18" s="108">
        <f ca="1" t="shared" si="14"/>
        <v>41</v>
      </c>
      <c r="H18" s="95">
        <v>0</v>
      </c>
      <c r="I18" s="95" t="s">
        <v>23</v>
      </c>
      <c r="J18" s="95" t="str">
        <f t="shared" si="13"/>
        <v>6</v>
      </c>
      <c r="L18" s="95" t="s">
        <v>234</v>
      </c>
      <c r="M18" s="95" t="s">
        <v>11</v>
      </c>
      <c r="N18" s="95">
        <f ca="1" t="shared" si="16"/>
        <v>50</v>
      </c>
      <c r="O18" s="95">
        <v>1</v>
      </c>
      <c r="P18" s="95"/>
      <c r="Q18" s="95"/>
      <c r="R18" s="108">
        <f ca="1" t="shared" si="17"/>
        <v>50.7</v>
      </c>
      <c r="S18" s="95">
        <v>0</v>
      </c>
      <c r="T18" s="95" t="s">
        <v>23</v>
      </c>
      <c r="U18" s="95" t="str">
        <f t="shared" si="2"/>
        <v>6</v>
      </c>
      <c r="W18" s="75"/>
      <c r="X18" s="75" t="s">
        <v>46</v>
      </c>
      <c r="Y18" s="75">
        <f ca="1" t="shared" si="3"/>
        <v>30</v>
      </c>
      <c r="Z18" s="75">
        <v>1</v>
      </c>
      <c r="AA18" s="75"/>
      <c r="AB18" s="75"/>
      <c r="AC18" s="108">
        <f ca="1" t="shared" si="4"/>
        <v>31</v>
      </c>
      <c r="AD18" s="75">
        <v>0</v>
      </c>
      <c r="AE18" s="75" t="s">
        <v>23</v>
      </c>
      <c r="AF18" s="95" t="str">
        <f t="shared" si="0"/>
        <v>6</v>
      </c>
    </row>
    <row r="19" ht="15.3" spans="1:32">
      <c r="A19" s="138" t="s">
        <v>46</v>
      </c>
      <c r="B19" s="140"/>
      <c r="C19" s="140"/>
      <c r="D19" s="140"/>
      <c r="E19" s="140"/>
      <c r="F19" s="140"/>
      <c r="G19" s="140"/>
      <c r="H19" s="140"/>
      <c r="I19" s="140"/>
      <c r="J19" s="142"/>
      <c r="L19" s="95" t="s">
        <v>235</v>
      </c>
      <c r="M19" s="95" t="s">
        <v>11</v>
      </c>
      <c r="N19" s="95">
        <f ca="1" t="shared" si="16"/>
        <v>50</v>
      </c>
      <c r="O19" s="95">
        <v>1</v>
      </c>
      <c r="P19" s="95"/>
      <c r="Q19" s="95"/>
      <c r="R19" s="108">
        <f ca="1" t="shared" si="17"/>
        <v>50.7</v>
      </c>
      <c r="S19" s="95">
        <v>0</v>
      </c>
      <c r="T19" s="95" t="s">
        <v>23</v>
      </c>
      <c r="U19" s="95" t="str">
        <f t="shared" si="2"/>
        <v>6</v>
      </c>
      <c r="W19" s="75"/>
      <c r="X19" s="75" t="s">
        <v>46</v>
      </c>
      <c r="Y19" s="75">
        <f ca="1" t="shared" si="3"/>
        <v>30</v>
      </c>
      <c r="Z19" s="75">
        <v>1</v>
      </c>
      <c r="AA19" s="75"/>
      <c r="AB19" s="75"/>
      <c r="AC19" s="108">
        <f ca="1" t="shared" si="4"/>
        <v>31</v>
      </c>
      <c r="AD19" s="75">
        <v>0</v>
      </c>
      <c r="AE19" s="75" t="s">
        <v>23</v>
      </c>
      <c r="AF19" s="95" t="str">
        <f t="shared" si="0"/>
        <v>6</v>
      </c>
    </row>
    <row r="20" ht="15.3" spans="1:32">
      <c r="A20" s="95" t="s">
        <v>236</v>
      </c>
      <c r="B20" s="95" t="s">
        <v>46</v>
      </c>
      <c r="C20" s="95">
        <f ca="1">LOOKUP(INDIRECT("rc[-1]",),INDIRECT("总表"&amp;"!A29:A34"),INDIRECT("总表"&amp;"!B29:B34"))</f>
        <v>30</v>
      </c>
      <c r="D20" s="95">
        <v>1</v>
      </c>
      <c r="E20" s="95"/>
      <c r="F20" s="95"/>
      <c r="G20" s="108">
        <f ca="1">IF(SUM(C20:E20)&lt;=50,SUM(C20:E20),IF(SUM(C20:E20)&lt;=80,(SUM(C20:E20)-50)*0.7+50,(SUM(C20:E20)-80)*0.4+71))+F20</f>
        <v>31</v>
      </c>
      <c r="H20" s="95">
        <v>0</v>
      </c>
      <c r="I20" s="95" t="s">
        <v>23</v>
      </c>
      <c r="J20" s="95" t="str">
        <f t="shared" ref="J20:J32" si="18">IF(D20&lt;10,"6",IF(D20&lt;20,"9",IF(D20&lt;30,"12",18)))</f>
        <v>6</v>
      </c>
      <c r="L20" s="95" t="s">
        <v>237</v>
      </c>
      <c r="M20" s="95" t="s">
        <v>31</v>
      </c>
      <c r="N20" s="95">
        <f ca="1" t="shared" si="16"/>
        <v>50</v>
      </c>
      <c r="O20" s="95">
        <v>1</v>
      </c>
      <c r="P20" s="95"/>
      <c r="Q20" s="95"/>
      <c r="R20" s="108">
        <f ca="1" t="shared" si="17"/>
        <v>50.7</v>
      </c>
      <c r="S20" s="95">
        <v>0</v>
      </c>
      <c r="T20" s="95" t="s">
        <v>23</v>
      </c>
      <c r="U20" s="95" t="str">
        <f t="shared" si="2"/>
        <v>6</v>
      </c>
      <c r="W20" s="75"/>
      <c r="X20" s="75" t="s">
        <v>46</v>
      </c>
      <c r="Y20" s="75">
        <f ca="1" t="shared" si="3"/>
        <v>30</v>
      </c>
      <c r="Z20" s="75">
        <v>1</v>
      </c>
      <c r="AA20" s="75"/>
      <c r="AB20" s="75"/>
      <c r="AC20" s="108">
        <f ca="1" t="shared" si="4"/>
        <v>31</v>
      </c>
      <c r="AD20" s="75">
        <v>0</v>
      </c>
      <c r="AE20" s="75" t="s">
        <v>23</v>
      </c>
      <c r="AF20" s="95" t="str">
        <f t="shared" si="0"/>
        <v>6</v>
      </c>
    </row>
    <row r="21" ht="15.3" spans="1:32">
      <c r="A21" s="95" t="s">
        <v>60</v>
      </c>
      <c r="B21" s="95" t="s">
        <v>46</v>
      </c>
      <c r="C21" s="95">
        <f ca="1" t="shared" ref="C21:C25" si="19">LOOKUP(INDIRECT("rc[-1]",),INDIRECT("总表"&amp;"!A29:A34"),INDIRECT("总表"&amp;"!B29:B34"))</f>
        <v>30</v>
      </c>
      <c r="D21" s="95">
        <v>1</v>
      </c>
      <c r="E21" s="95"/>
      <c r="F21" s="95"/>
      <c r="G21" s="108">
        <f ca="1" t="shared" ref="G21:G25" si="20">IF(SUM(C21:E21)&lt;=50,SUM(C21:E21),IF(SUM(C21:E21)&lt;=80,(SUM(C21:E21)-50)*0.7+50,(SUM(C21:E21)-80)*0.4+71))+F21</f>
        <v>31</v>
      </c>
      <c r="H21" s="95">
        <v>0</v>
      </c>
      <c r="I21" s="95" t="s">
        <v>23</v>
      </c>
      <c r="J21" s="95" t="str">
        <f t="shared" si="18"/>
        <v>6</v>
      </c>
      <c r="L21" s="138" t="s">
        <v>238</v>
      </c>
      <c r="M21" s="140"/>
      <c r="N21" s="140"/>
      <c r="O21" s="140"/>
      <c r="P21" s="140"/>
      <c r="Q21" s="140"/>
      <c r="R21" s="140"/>
      <c r="S21" s="140"/>
      <c r="T21" s="140"/>
      <c r="U21" s="142"/>
      <c r="W21" s="75"/>
      <c r="X21" s="75" t="s">
        <v>46</v>
      </c>
      <c r="Y21" s="75">
        <f ca="1" t="shared" si="3"/>
        <v>30</v>
      </c>
      <c r="Z21" s="75">
        <v>1</v>
      </c>
      <c r="AA21" s="75"/>
      <c r="AB21" s="75"/>
      <c r="AC21" s="108">
        <f ca="1" t="shared" si="4"/>
        <v>31</v>
      </c>
      <c r="AD21" s="75">
        <v>0</v>
      </c>
      <c r="AE21" s="75" t="s">
        <v>23</v>
      </c>
      <c r="AF21" s="95" t="str">
        <f t="shared" si="0"/>
        <v>6</v>
      </c>
    </row>
    <row r="22" ht="15.3" spans="1:32">
      <c r="A22" s="95" t="s">
        <v>239</v>
      </c>
      <c r="B22" s="95" t="s">
        <v>46</v>
      </c>
      <c r="C22" s="95">
        <f ca="1" t="shared" si="19"/>
        <v>30</v>
      </c>
      <c r="D22" s="95">
        <v>1</v>
      </c>
      <c r="E22" s="95"/>
      <c r="F22" s="95"/>
      <c r="G22" s="108">
        <f ca="1" t="shared" si="20"/>
        <v>31</v>
      </c>
      <c r="H22" s="95">
        <v>0</v>
      </c>
      <c r="I22" s="95" t="s">
        <v>23</v>
      </c>
      <c r="J22" s="95" t="str">
        <f t="shared" si="18"/>
        <v>6</v>
      </c>
      <c r="L22" s="95" t="s">
        <v>184</v>
      </c>
      <c r="M22" s="95" t="s">
        <v>11</v>
      </c>
      <c r="N22" s="95">
        <f ca="1">LOOKUP(INDIRECT("rc[-1]",),INDIRECT("总表"&amp;"!A29:A34"),INDIRECT("总表"&amp;"!B29:B34"))</f>
        <v>50</v>
      </c>
      <c r="O22" s="95">
        <v>1</v>
      </c>
      <c r="P22" s="95"/>
      <c r="Q22" s="95"/>
      <c r="R22" s="108">
        <f ca="1">IF(SUM(N22:P22)&lt;=50,SUM(N22:P22),IF(SUM(N22:P22)&lt;=80,(SUM(N22:P22)-50)*0.7+50,(SUM(N22:P22)-80)*0.4+71))+Q22</f>
        <v>50.7</v>
      </c>
      <c r="S22" s="95">
        <v>0</v>
      </c>
      <c r="T22" s="95" t="s">
        <v>23</v>
      </c>
      <c r="U22" s="95" t="str">
        <f t="shared" si="2"/>
        <v>6</v>
      </c>
      <c r="W22" s="143"/>
      <c r="X22" s="75" t="s">
        <v>46</v>
      </c>
      <c r="Y22" s="75">
        <f ca="1" t="shared" si="3"/>
        <v>30</v>
      </c>
      <c r="Z22" s="75">
        <v>1</v>
      </c>
      <c r="AA22" s="75"/>
      <c r="AB22" s="75"/>
      <c r="AC22" s="108">
        <f ca="1" t="shared" si="4"/>
        <v>31</v>
      </c>
      <c r="AD22" s="75">
        <v>0</v>
      </c>
      <c r="AE22" s="75" t="s">
        <v>23</v>
      </c>
      <c r="AF22" s="95" t="str">
        <f t="shared" si="0"/>
        <v>6</v>
      </c>
    </row>
    <row r="23" ht="15.3" spans="1:32">
      <c r="A23" s="95" t="s">
        <v>240</v>
      </c>
      <c r="B23" s="95" t="s">
        <v>46</v>
      </c>
      <c r="C23" s="95">
        <f ca="1" t="shared" si="19"/>
        <v>30</v>
      </c>
      <c r="D23" s="95">
        <v>1</v>
      </c>
      <c r="E23" s="95"/>
      <c r="F23" s="95"/>
      <c r="G23" s="108">
        <f ca="1" t="shared" si="20"/>
        <v>31</v>
      </c>
      <c r="H23" s="95">
        <v>0</v>
      </c>
      <c r="I23" s="95" t="s">
        <v>23</v>
      </c>
      <c r="J23" s="95" t="str">
        <f t="shared" si="18"/>
        <v>6</v>
      </c>
      <c r="L23" s="95" t="s">
        <v>85</v>
      </c>
      <c r="M23" s="95" t="s">
        <v>11</v>
      </c>
      <c r="N23" s="95">
        <f ca="1" t="shared" ref="N23:N25" si="21">LOOKUP(INDIRECT("rc[-1]",),INDIRECT("总表"&amp;"!A29:A34"),INDIRECT("总表"&amp;"!B29:B34"))</f>
        <v>50</v>
      </c>
      <c r="O23" s="95">
        <v>1</v>
      </c>
      <c r="P23" s="95"/>
      <c r="Q23" s="95"/>
      <c r="R23" s="108">
        <f ca="1" t="shared" ref="R23:R25" si="22">IF(SUM(N23:P23)&lt;=50,SUM(N23:P23),IF(SUM(N23:P23)&lt;=80,(SUM(N23:P23)-50)*0.7+50,(SUM(N23:P23)-80)*0.4+71))+Q23</f>
        <v>50.7</v>
      </c>
      <c r="S23" s="95">
        <v>0</v>
      </c>
      <c r="T23" s="95" t="s">
        <v>23</v>
      </c>
      <c r="U23" s="95" t="str">
        <f t="shared" si="2"/>
        <v>6</v>
      </c>
      <c r="W23" s="75"/>
      <c r="X23" s="75" t="s">
        <v>46</v>
      </c>
      <c r="Y23" s="75">
        <f ca="1" t="shared" si="3"/>
        <v>30</v>
      </c>
      <c r="Z23" s="75">
        <v>1</v>
      </c>
      <c r="AA23" s="75"/>
      <c r="AB23" s="75"/>
      <c r="AC23" s="108">
        <f ca="1" t="shared" si="4"/>
        <v>31</v>
      </c>
      <c r="AD23" s="75">
        <v>0</v>
      </c>
      <c r="AE23" s="75" t="s">
        <v>23</v>
      </c>
      <c r="AF23" s="95" t="str">
        <f t="shared" si="0"/>
        <v>6</v>
      </c>
    </row>
    <row r="24" ht="15.3" spans="1:32">
      <c r="A24" s="95" t="s">
        <v>241</v>
      </c>
      <c r="B24" s="95" t="s">
        <v>46</v>
      </c>
      <c r="C24" s="95">
        <f ca="1" t="shared" si="19"/>
        <v>30</v>
      </c>
      <c r="D24" s="95">
        <v>1</v>
      </c>
      <c r="E24" s="95"/>
      <c r="F24" s="95"/>
      <c r="G24" s="108">
        <f ca="1" t="shared" si="20"/>
        <v>31</v>
      </c>
      <c r="H24" s="95">
        <v>0</v>
      </c>
      <c r="I24" s="95" t="s">
        <v>23</v>
      </c>
      <c r="J24" s="95" t="str">
        <f t="shared" si="18"/>
        <v>6</v>
      </c>
      <c r="L24" s="95" t="s">
        <v>242</v>
      </c>
      <c r="M24" s="95" t="s">
        <v>11</v>
      </c>
      <c r="N24" s="95">
        <f ca="1" t="shared" si="21"/>
        <v>50</v>
      </c>
      <c r="O24" s="95">
        <v>1</v>
      </c>
      <c r="P24" s="95"/>
      <c r="Q24" s="95"/>
      <c r="R24" s="108">
        <f ca="1" t="shared" si="22"/>
        <v>50.7</v>
      </c>
      <c r="S24" s="95">
        <v>0</v>
      </c>
      <c r="T24" s="95" t="s">
        <v>23</v>
      </c>
      <c r="U24" s="95" t="str">
        <f t="shared" si="2"/>
        <v>6</v>
      </c>
      <c r="W24" s="75"/>
      <c r="X24" s="75" t="s">
        <v>46</v>
      </c>
      <c r="Y24" s="75">
        <f ca="1" t="shared" si="3"/>
        <v>30</v>
      </c>
      <c r="Z24" s="75">
        <v>1</v>
      </c>
      <c r="AA24" s="75"/>
      <c r="AB24" s="75"/>
      <c r="AC24" s="108">
        <f ca="1" t="shared" si="4"/>
        <v>31</v>
      </c>
      <c r="AD24" s="75">
        <v>0</v>
      </c>
      <c r="AE24" s="75" t="s">
        <v>23</v>
      </c>
      <c r="AF24" s="95" t="str">
        <f t="shared" si="0"/>
        <v>6</v>
      </c>
    </row>
    <row r="25" ht="15.3" spans="1:32">
      <c r="A25" s="95" t="s">
        <v>243</v>
      </c>
      <c r="B25" s="95" t="s">
        <v>46</v>
      </c>
      <c r="C25" s="95">
        <f ca="1" t="shared" si="19"/>
        <v>30</v>
      </c>
      <c r="D25" s="95">
        <v>1</v>
      </c>
      <c r="E25" s="95"/>
      <c r="F25" s="95"/>
      <c r="G25" s="108">
        <f ca="1" t="shared" si="20"/>
        <v>31</v>
      </c>
      <c r="H25" s="95">
        <v>0</v>
      </c>
      <c r="I25" s="95" t="s">
        <v>23</v>
      </c>
      <c r="J25" s="95" t="str">
        <f t="shared" si="18"/>
        <v>6</v>
      </c>
      <c r="L25" s="95" t="s">
        <v>244</v>
      </c>
      <c r="M25" s="95" t="s">
        <v>11</v>
      </c>
      <c r="N25" s="95">
        <f ca="1" t="shared" si="21"/>
        <v>50</v>
      </c>
      <c r="O25" s="95">
        <v>1</v>
      </c>
      <c r="P25" s="95"/>
      <c r="Q25" s="95"/>
      <c r="R25" s="108">
        <f ca="1" t="shared" si="22"/>
        <v>50.7</v>
      </c>
      <c r="S25" s="95">
        <v>0</v>
      </c>
      <c r="T25" s="95" t="s">
        <v>23</v>
      </c>
      <c r="U25" s="95" t="str">
        <f t="shared" si="2"/>
        <v>6</v>
      </c>
      <c r="W25" s="75"/>
      <c r="X25" s="75" t="s">
        <v>46</v>
      </c>
      <c r="Y25" s="75">
        <f ca="1" t="shared" si="3"/>
        <v>30</v>
      </c>
      <c r="Z25" s="75">
        <v>1</v>
      </c>
      <c r="AA25" s="75"/>
      <c r="AB25" s="75"/>
      <c r="AC25" s="108">
        <f ca="1" t="shared" si="4"/>
        <v>31</v>
      </c>
      <c r="AD25" s="75">
        <v>0</v>
      </c>
      <c r="AE25" s="75" t="s">
        <v>23</v>
      </c>
      <c r="AF25" s="95" t="str">
        <f t="shared" si="0"/>
        <v>6</v>
      </c>
    </row>
    <row r="26" ht="15.3" spans="1:32">
      <c r="A26" s="138" t="s">
        <v>56</v>
      </c>
      <c r="B26" s="140"/>
      <c r="C26" s="140"/>
      <c r="D26" s="140"/>
      <c r="E26" s="140"/>
      <c r="F26" s="140"/>
      <c r="G26" s="140"/>
      <c r="H26" s="140"/>
      <c r="I26" s="140"/>
      <c r="J26" s="142"/>
      <c r="L26" s="138" t="s">
        <v>245</v>
      </c>
      <c r="M26" s="140"/>
      <c r="N26" s="140"/>
      <c r="O26" s="140"/>
      <c r="P26" s="140"/>
      <c r="Q26" s="140"/>
      <c r="R26" s="140"/>
      <c r="S26" s="140"/>
      <c r="T26" s="140"/>
      <c r="U26" s="142"/>
      <c r="W26" s="75"/>
      <c r="X26" s="75" t="s">
        <v>46</v>
      </c>
      <c r="Y26" s="75">
        <f ca="1" t="shared" si="3"/>
        <v>30</v>
      </c>
      <c r="Z26" s="75">
        <v>1</v>
      </c>
      <c r="AA26" s="75"/>
      <c r="AB26" s="75"/>
      <c r="AC26" s="108">
        <f ca="1" t="shared" si="4"/>
        <v>31</v>
      </c>
      <c r="AD26" s="75">
        <v>0</v>
      </c>
      <c r="AE26" s="75" t="s">
        <v>23</v>
      </c>
      <c r="AF26" s="95" t="str">
        <f t="shared" si="0"/>
        <v>6</v>
      </c>
    </row>
    <row r="27" ht="15.3" spans="1:32">
      <c r="A27" s="95" t="s">
        <v>246</v>
      </c>
      <c r="B27" s="95" t="s">
        <v>56</v>
      </c>
      <c r="C27" s="95">
        <f ca="1">LOOKUP(INDIRECT("rc[-1]",),INDIRECT("总表"&amp;"!A29:A34"),INDIRECT("总表"&amp;"!B29:B34"))</f>
        <v>40</v>
      </c>
      <c r="D27" s="95">
        <v>1</v>
      </c>
      <c r="E27" s="95"/>
      <c r="F27" s="95"/>
      <c r="G27" s="108">
        <f ca="1">IF(SUM(C27:E27)&lt;=50,SUM(C27:E27),IF(SUM(C27:E27)&lt;=80,(SUM(C27:E27)-50)*0.7+50,(SUM(C27:E27)-80)*0.4+71))+F27</f>
        <v>41</v>
      </c>
      <c r="H27" s="95">
        <v>0</v>
      </c>
      <c r="I27" s="95" t="s">
        <v>23</v>
      </c>
      <c r="J27" s="95" t="str">
        <f t="shared" si="18"/>
        <v>6</v>
      </c>
      <c r="L27" s="95" t="s">
        <v>247</v>
      </c>
      <c r="M27" s="95" t="s">
        <v>11</v>
      </c>
      <c r="N27" s="95">
        <f ca="1">LOOKUP(INDIRECT("rc[-1]",),INDIRECT("总表"&amp;"!A29:A34"),INDIRECT("总表"&amp;"!B29:B34"))</f>
        <v>50</v>
      </c>
      <c r="O27" s="95">
        <v>1</v>
      </c>
      <c r="P27" s="95"/>
      <c r="Q27" s="95"/>
      <c r="R27" s="108">
        <f ca="1">IF(SUM(N27:P27)&lt;=50,SUM(N27:P27),IF(SUM(N27:P27)&lt;=80,(SUM(N27:P27)-50)*0.7+50,(SUM(N27:P27)-80)*0.4+71))+Q27</f>
        <v>50.7</v>
      </c>
      <c r="S27" s="95">
        <v>0</v>
      </c>
      <c r="T27" s="95" t="s">
        <v>23</v>
      </c>
      <c r="U27" s="95" t="str">
        <f t="shared" si="2"/>
        <v>6</v>
      </c>
      <c r="W27" s="75"/>
      <c r="X27" s="75" t="s">
        <v>46</v>
      </c>
      <c r="Y27" s="75">
        <f ca="1" t="shared" si="3"/>
        <v>30</v>
      </c>
      <c r="Z27" s="75">
        <v>1</v>
      </c>
      <c r="AA27" s="75"/>
      <c r="AB27" s="75"/>
      <c r="AC27" s="108">
        <f ca="1" t="shared" si="4"/>
        <v>31</v>
      </c>
      <c r="AD27" s="75">
        <v>0</v>
      </c>
      <c r="AE27" s="75" t="s">
        <v>23</v>
      </c>
      <c r="AF27" s="95" t="str">
        <f t="shared" si="0"/>
        <v>6</v>
      </c>
    </row>
    <row r="28" ht="15.3" spans="1:32">
      <c r="A28" s="95" t="s">
        <v>248</v>
      </c>
      <c r="B28" s="95" t="s">
        <v>56</v>
      </c>
      <c r="C28" s="95">
        <f ca="1" t="shared" ref="C28:C29" si="23">LOOKUP(INDIRECT("rc[-1]",),INDIRECT("总表"&amp;"!A29:A34"),INDIRECT("总表"&amp;"!B29:B34"))</f>
        <v>40</v>
      </c>
      <c r="D28" s="95">
        <v>1</v>
      </c>
      <c r="E28" s="95"/>
      <c r="F28" s="95"/>
      <c r="G28" s="108">
        <f ca="1" t="shared" ref="G28:G32" si="24">IF(SUM(C28:E28)&lt;=50,SUM(C28:E28),IF(SUM(C28:E28)&lt;=80,(SUM(C28:E28)-50)*0.7+50,(SUM(C28:E28)-80)*0.4+71))+F28</f>
        <v>41</v>
      </c>
      <c r="H28" s="95">
        <v>0</v>
      </c>
      <c r="I28" s="95" t="s">
        <v>23</v>
      </c>
      <c r="J28" s="95" t="str">
        <f t="shared" si="18"/>
        <v>6</v>
      </c>
      <c r="L28" s="95" t="s">
        <v>249</v>
      </c>
      <c r="M28" s="95" t="s">
        <v>11</v>
      </c>
      <c r="N28" s="95">
        <f ca="1" t="shared" ref="N28:N30" si="25">LOOKUP(INDIRECT("rc[-1]",),INDIRECT("总表"&amp;"!A29:A34"),INDIRECT("总表"&amp;"!B29:B34"))</f>
        <v>50</v>
      </c>
      <c r="O28" s="95">
        <v>1</v>
      </c>
      <c r="P28" s="95"/>
      <c r="Q28" s="95"/>
      <c r="R28" s="108">
        <f ca="1" t="shared" ref="R28:R30" si="26">IF(SUM(N28:P28)&lt;=50,SUM(N28:P28),IF(SUM(N28:P28)&lt;=80,(SUM(N28:P28)-50)*0.7+50,(SUM(N28:P28)-80)*0.4+71))+Q28</f>
        <v>50.7</v>
      </c>
      <c r="S28" s="95">
        <v>0</v>
      </c>
      <c r="T28" s="95" t="s">
        <v>23</v>
      </c>
      <c r="U28" s="95" t="str">
        <f t="shared" si="2"/>
        <v>6</v>
      </c>
      <c r="W28" s="75"/>
      <c r="X28" s="75" t="s">
        <v>46</v>
      </c>
      <c r="Y28" s="75">
        <f ca="1" t="shared" si="3"/>
        <v>30</v>
      </c>
      <c r="Z28" s="75">
        <v>1</v>
      </c>
      <c r="AA28" s="75"/>
      <c r="AB28" s="75"/>
      <c r="AC28" s="108">
        <f ca="1" t="shared" si="4"/>
        <v>31</v>
      </c>
      <c r="AD28" s="75">
        <v>0</v>
      </c>
      <c r="AE28" s="75" t="s">
        <v>23</v>
      </c>
      <c r="AF28" s="95" t="str">
        <f t="shared" si="0"/>
        <v>6</v>
      </c>
    </row>
    <row r="29" ht="15.3" spans="1:21">
      <c r="A29" s="95" t="s">
        <v>250</v>
      </c>
      <c r="B29" s="95" t="s">
        <v>56</v>
      </c>
      <c r="C29" s="95">
        <f ca="1" t="shared" si="23"/>
        <v>40</v>
      </c>
      <c r="D29" s="95">
        <v>1</v>
      </c>
      <c r="E29" s="95"/>
      <c r="F29" s="95"/>
      <c r="G29" s="108">
        <f ca="1" t="shared" si="24"/>
        <v>41</v>
      </c>
      <c r="H29" s="95">
        <v>0</v>
      </c>
      <c r="I29" s="95" t="s">
        <v>23</v>
      </c>
      <c r="J29" s="95" t="str">
        <f t="shared" si="18"/>
        <v>6</v>
      </c>
      <c r="L29" s="95" t="s">
        <v>251</v>
      </c>
      <c r="M29" s="95" t="s">
        <v>11</v>
      </c>
      <c r="N29" s="95">
        <f ca="1" t="shared" si="25"/>
        <v>50</v>
      </c>
      <c r="O29" s="95">
        <v>1</v>
      </c>
      <c r="P29" s="95"/>
      <c r="Q29" s="95"/>
      <c r="R29" s="108">
        <f ca="1" t="shared" si="26"/>
        <v>50.7</v>
      </c>
      <c r="S29" s="95">
        <v>0</v>
      </c>
      <c r="T29" s="95" t="s">
        <v>23</v>
      </c>
      <c r="U29" s="95" t="str">
        <f t="shared" si="2"/>
        <v>6</v>
      </c>
    </row>
    <row r="30" ht="15.3" spans="1:21">
      <c r="A30" s="138" t="s">
        <v>62</v>
      </c>
      <c r="B30" s="140"/>
      <c r="C30" s="140"/>
      <c r="D30" s="140"/>
      <c r="E30" s="140"/>
      <c r="F30" s="140"/>
      <c r="G30" s="140"/>
      <c r="H30" s="140"/>
      <c r="I30" s="140"/>
      <c r="J30" s="142"/>
      <c r="L30" s="95" t="s">
        <v>252</v>
      </c>
      <c r="M30" s="95" t="s">
        <v>11</v>
      </c>
      <c r="N30" s="95">
        <f ca="1" t="shared" si="25"/>
        <v>50</v>
      </c>
      <c r="O30" s="95">
        <v>1</v>
      </c>
      <c r="P30" s="95"/>
      <c r="Q30" s="95"/>
      <c r="R30" s="108">
        <f ca="1" t="shared" si="26"/>
        <v>50.7</v>
      </c>
      <c r="S30" s="95">
        <v>0</v>
      </c>
      <c r="T30" s="95" t="s">
        <v>23</v>
      </c>
      <c r="U30" s="95" t="str">
        <f t="shared" si="2"/>
        <v>6</v>
      </c>
    </row>
    <row r="31" ht="15.3" spans="1:21">
      <c r="A31" s="95" t="s">
        <v>253</v>
      </c>
      <c r="B31" s="95" t="s">
        <v>62</v>
      </c>
      <c r="C31" s="95">
        <f ca="1">LOOKUP(INDIRECT("rc[-1]",),INDIRECT("总表"&amp;"!A29:A34"),INDIRECT("总表"&amp;"!B29:B34"))</f>
        <v>30</v>
      </c>
      <c r="D31" s="95">
        <v>1</v>
      </c>
      <c r="E31" s="95"/>
      <c r="F31" s="95"/>
      <c r="G31" s="108">
        <f ca="1" t="shared" si="24"/>
        <v>31</v>
      </c>
      <c r="H31" s="95">
        <v>0</v>
      </c>
      <c r="I31" s="95" t="s">
        <v>23</v>
      </c>
      <c r="J31" s="95" t="str">
        <f t="shared" si="18"/>
        <v>6</v>
      </c>
      <c r="L31" s="138" t="s">
        <v>254</v>
      </c>
      <c r="M31" s="140"/>
      <c r="N31" s="140"/>
      <c r="O31" s="140"/>
      <c r="P31" s="140"/>
      <c r="Q31" s="140"/>
      <c r="R31" s="140"/>
      <c r="S31" s="140"/>
      <c r="T31" s="140"/>
      <c r="U31" s="142"/>
    </row>
    <row r="32" ht="15.3" spans="1:21">
      <c r="A32" s="95" t="s">
        <v>255</v>
      </c>
      <c r="B32" s="95" t="s">
        <v>62</v>
      </c>
      <c r="C32" s="95">
        <f ca="1">LOOKUP(INDIRECT("rc[-1]",),INDIRECT("总表"&amp;"!A29:A34"),INDIRECT("总表"&amp;"!B29:B34"))</f>
        <v>30</v>
      </c>
      <c r="D32" s="95">
        <v>1</v>
      </c>
      <c r="E32" s="95"/>
      <c r="F32" s="95"/>
      <c r="G32" s="108">
        <f ca="1" t="shared" si="24"/>
        <v>31</v>
      </c>
      <c r="H32" s="95">
        <v>0</v>
      </c>
      <c r="I32" s="95" t="s">
        <v>23</v>
      </c>
      <c r="J32" s="95" t="str">
        <f t="shared" si="18"/>
        <v>6</v>
      </c>
      <c r="L32" s="95" t="s">
        <v>256</v>
      </c>
      <c r="M32" s="95" t="s">
        <v>11</v>
      </c>
      <c r="N32" s="95">
        <f ca="1">LOOKUP(INDIRECT("rc[-1]",),INDIRECT("总表"&amp;"!A29:A34"),INDIRECT("总表"&amp;"!B29:B34"))</f>
        <v>50</v>
      </c>
      <c r="O32" s="95">
        <v>1</v>
      </c>
      <c r="P32" s="95"/>
      <c r="Q32" s="95"/>
      <c r="R32" s="108">
        <f ca="1">IF(SUM(N32:P32)&lt;=50,SUM(N32:P32),IF(SUM(N32:P32)&lt;=80,(SUM(N32:P32)-50)*0.7+50,(SUM(N32:P32)-80)*0.4+71))+Q32</f>
        <v>50.7</v>
      </c>
      <c r="S32" s="95">
        <v>0</v>
      </c>
      <c r="T32" s="95" t="s">
        <v>23</v>
      </c>
      <c r="U32" s="95" t="str">
        <f t="shared" si="2"/>
        <v>6</v>
      </c>
    </row>
    <row r="33" ht="15.3" spans="12:21">
      <c r="L33" s="95" t="s">
        <v>257</v>
      </c>
      <c r="M33" s="95" t="s">
        <v>11</v>
      </c>
      <c r="N33" s="95">
        <f ca="1">LOOKUP(INDIRECT("rc[-1]",),INDIRECT("总表"&amp;"!A29:A34"),INDIRECT("总表"&amp;"!B29:B34"))</f>
        <v>50</v>
      </c>
      <c r="O33" s="95">
        <v>1</v>
      </c>
      <c r="P33" s="95"/>
      <c r="Q33" s="95"/>
      <c r="R33" s="108">
        <f ca="1">IF(SUM(N33:P33)&lt;=50,SUM(N33:P33),IF(SUM(N33:P33)&lt;=80,(SUM(N33:P33)-50)*0.7+50,(SUM(N33:P33)-80)*0.4+71))+Q33</f>
        <v>50.7</v>
      </c>
      <c r="S33" s="95">
        <v>0</v>
      </c>
      <c r="T33" s="95" t="s">
        <v>23</v>
      </c>
      <c r="U33" s="95" t="str">
        <f t="shared" ref="U33:U34" si="27">IF(O33&lt;10,"6",IF(O33&lt;20,"9",IF(O33&lt;30,"12",18)))</f>
        <v>6</v>
      </c>
    </row>
    <row r="34" ht="15.3" spans="12:21">
      <c r="L34" s="95" t="s">
        <v>258</v>
      </c>
      <c r="M34" s="95" t="s">
        <v>11</v>
      </c>
      <c r="N34" s="95">
        <f ca="1">LOOKUP(INDIRECT("rc[-1]",),INDIRECT("总表"&amp;"!A29:A34"),INDIRECT("总表"&amp;"!B29:B34"))</f>
        <v>50</v>
      </c>
      <c r="O34" s="95">
        <v>1</v>
      </c>
      <c r="P34" s="95"/>
      <c r="Q34" s="95"/>
      <c r="R34" s="108">
        <f ca="1">IF(SUM(N34:P34)&lt;=50,SUM(N34:P34),IF(SUM(N34:P34)&lt;=80,(SUM(N34:P34)-50)*0.7+50,(SUM(N34:P34)-80)*0.4+71))+Q34</f>
        <v>50.7</v>
      </c>
      <c r="S34" s="95">
        <v>0</v>
      </c>
      <c r="T34" s="95" t="s">
        <v>23</v>
      </c>
      <c r="U34" s="95" t="str">
        <f t="shared" si="27"/>
        <v>6</v>
      </c>
    </row>
    <row r="35" ht="14.55"/>
  </sheetData>
  <protectedRanges>
    <protectedRange sqref="O5:Q29 AD5:AD28 AA5:AB28 S5:S30 O30 O32:O34 S32:S34" name="武器熟练度区域_1"/>
    <protectedRange sqref="D20:F25 H20:H25 H5:H7 D5:F7 H9:H13 D9:F13 H15:H18 D15:F18 H27:H29 D27:F29 D31:F32 H31:H32 J5:J32 U5:U30 AF4:AF28 U32:U34" name="泛用技能区域_2"/>
  </protectedRanges>
  <sortState ref="L5:U29">
    <sortCondition ref="L5:L29"/>
  </sortState>
  <mergeCells count="22">
    <mergeCell ref="H3:J3"/>
    <mergeCell ref="S3:U3"/>
    <mergeCell ref="AD3:AF3"/>
    <mergeCell ref="A4:J4"/>
    <mergeCell ref="L4:U4"/>
    <mergeCell ref="A8:J8"/>
    <mergeCell ref="L10:U10"/>
    <mergeCell ref="A14:J14"/>
    <mergeCell ref="L15:U15"/>
    <mergeCell ref="A19:J19"/>
    <mergeCell ref="L21:U21"/>
    <mergeCell ref="A26:J26"/>
    <mergeCell ref="L26:U26"/>
    <mergeCell ref="A30:J30"/>
    <mergeCell ref="L31:U31"/>
    <mergeCell ref="Z6:Z7"/>
    <mergeCell ref="AD6:AD7"/>
    <mergeCell ref="AE6:AE7"/>
    <mergeCell ref="AF6:AF7"/>
    <mergeCell ref="A1:J2"/>
    <mergeCell ref="W1:AF2"/>
    <mergeCell ref="L1:U2"/>
  </mergeCells>
  <pageMargins left="0.7" right="0.7" top="0.75" bottom="0.75" header="0.3" footer="0.3"/>
  <pageSetup paperSize="9" orientation="portrait"/>
  <headerFooter/>
  <ignoredErrors>
    <ignoredError sqref="AC7 Y7" formula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V27"/>
  <sheetViews>
    <sheetView workbookViewId="0">
      <selection activeCell="M5" sqref="M5:Q6"/>
    </sheetView>
  </sheetViews>
  <sheetFormatPr defaultColWidth="9" defaultRowHeight="20.4" customHeight="1"/>
  <cols>
    <col min="12" max="12" width="9.22222222222222"/>
  </cols>
  <sheetData>
    <row r="1" customHeight="1" spans="1:7">
      <c r="A1" s="56" t="s">
        <v>259</v>
      </c>
      <c r="B1" s="56"/>
      <c r="C1" s="56"/>
      <c r="D1" s="56"/>
      <c r="E1" s="56"/>
      <c r="F1" s="56"/>
      <c r="G1" s="56"/>
    </row>
    <row r="2" customHeight="1" spans="1:7">
      <c r="A2" s="56"/>
      <c r="B2" s="56"/>
      <c r="C2" s="56"/>
      <c r="D2" s="56"/>
      <c r="E2" s="56"/>
      <c r="F2" s="56"/>
      <c r="G2" s="56"/>
    </row>
    <row r="3" customHeight="1" spans="1:7">
      <c r="A3" s="115" t="s">
        <v>260</v>
      </c>
      <c r="B3" s="116"/>
      <c r="C3" s="115">
        <f ca="1">IF(总表!C36=1,INT(INDIRECT("各种技能"&amp;"!G21")/6),INT(INDIRECT("各种技能"&amp;"!G21")/8))</f>
        <v>3</v>
      </c>
      <c r="D3" s="117"/>
      <c r="E3" s="117"/>
      <c r="F3" s="117"/>
      <c r="G3" s="116"/>
    </row>
    <row r="4" customHeight="1" spans="1:22">
      <c r="A4" s="118" t="s">
        <v>161</v>
      </c>
      <c r="B4" s="118" t="s">
        <v>160</v>
      </c>
      <c r="C4" s="115" t="s">
        <v>261</v>
      </c>
      <c r="D4" s="117"/>
      <c r="E4" s="117"/>
      <c r="F4" s="117"/>
      <c r="G4" s="116"/>
      <c r="H4" s="115" t="s">
        <v>262</v>
      </c>
      <c r="I4" s="117"/>
      <c r="J4" s="117"/>
      <c r="K4" s="117"/>
      <c r="L4" s="116"/>
      <c r="M4" s="115" t="s">
        <v>263</v>
      </c>
      <c r="N4" s="117"/>
      <c r="O4" s="117"/>
      <c r="P4" s="117"/>
      <c r="Q4" s="116"/>
      <c r="R4" s="115" t="s">
        <v>264</v>
      </c>
      <c r="S4" s="117"/>
      <c r="T4" s="117"/>
      <c r="U4" s="117"/>
      <c r="V4" s="116"/>
    </row>
    <row r="5" customHeight="1" spans="1:22">
      <c r="A5" s="95" t="s">
        <v>61</v>
      </c>
      <c r="B5" s="95" t="s">
        <v>118</v>
      </c>
      <c r="C5" s="119" t="s">
        <v>265</v>
      </c>
      <c r="D5" s="120"/>
      <c r="E5" s="120"/>
      <c r="F5" s="120"/>
      <c r="G5" s="121"/>
      <c r="H5" s="122" t="s">
        <v>266</v>
      </c>
      <c r="I5" s="131"/>
      <c r="J5" s="131"/>
      <c r="K5" s="131"/>
      <c r="L5" s="132"/>
      <c r="M5" s="122" t="s">
        <v>267</v>
      </c>
      <c r="N5" s="131"/>
      <c r="O5" s="131"/>
      <c r="P5" s="131"/>
      <c r="Q5" s="132"/>
      <c r="R5" s="122" t="s">
        <v>268</v>
      </c>
      <c r="S5" s="131"/>
      <c r="T5" s="131"/>
      <c r="U5" s="131"/>
      <c r="V5" s="132"/>
    </row>
    <row r="6" customHeight="1" spans="1:22">
      <c r="A6" s="95"/>
      <c r="B6" s="95"/>
      <c r="C6" s="123"/>
      <c r="D6" s="124"/>
      <c r="E6" s="124"/>
      <c r="F6" s="124"/>
      <c r="G6" s="125"/>
      <c r="H6" s="126"/>
      <c r="I6" s="133"/>
      <c r="J6" s="133"/>
      <c r="K6" s="133"/>
      <c r="L6" s="134"/>
      <c r="M6" s="126"/>
      <c r="N6" s="133"/>
      <c r="O6" s="133"/>
      <c r="P6" s="133"/>
      <c r="Q6" s="134"/>
      <c r="R6" s="126"/>
      <c r="S6" s="133"/>
      <c r="T6" s="133"/>
      <c r="U6" s="133"/>
      <c r="V6" s="134"/>
    </row>
    <row r="7" customHeight="1" spans="1:22">
      <c r="A7" s="95" t="s">
        <v>66</v>
      </c>
      <c r="B7" s="95" t="s">
        <v>118</v>
      </c>
      <c r="C7" s="119" t="s">
        <v>269</v>
      </c>
      <c r="D7" s="120" t="s">
        <v>270</v>
      </c>
      <c r="E7" s="120"/>
      <c r="F7" s="120"/>
      <c r="G7" s="121"/>
      <c r="H7" s="122" t="s">
        <v>271</v>
      </c>
      <c r="I7" s="131"/>
      <c r="J7" s="131"/>
      <c r="K7" s="131"/>
      <c r="L7" s="132"/>
      <c r="M7" s="122" t="s">
        <v>272</v>
      </c>
      <c r="N7" s="131"/>
      <c r="O7" s="131"/>
      <c r="P7" s="131"/>
      <c r="Q7" s="132"/>
      <c r="R7" s="122" t="s">
        <v>273</v>
      </c>
      <c r="S7" s="131"/>
      <c r="T7" s="131"/>
      <c r="U7" s="131"/>
      <c r="V7" s="132"/>
    </row>
    <row r="8" customHeight="1" spans="1:22">
      <c r="A8" s="95"/>
      <c r="B8" s="95"/>
      <c r="C8" s="123"/>
      <c r="D8" s="124"/>
      <c r="E8" s="124"/>
      <c r="F8" s="124"/>
      <c r="G8" s="125"/>
      <c r="H8" s="126"/>
      <c r="I8" s="133"/>
      <c r="J8" s="133"/>
      <c r="K8" s="133"/>
      <c r="L8" s="134"/>
      <c r="M8" s="126"/>
      <c r="N8" s="133"/>
      <c r="O8" s="133"/>
      <c r="P8" s="133"/>
      <c r="Q8" s="134"/>
      <c r="R8" s="126"/>
      <c r="S8" s="133"/>
      <c r="T8" s="133"/>
      <c r="U8" s="133"/>
      <c r="V8" s="134"/>
    </row>
    <row r="9" customHeight="1" spans="1:22">
      <c r="A9" s="95" t="s">
        <v>274</v>
      </c>
      <c r="B9" s="95" t="s">
        <v>118</v>
      </c>
      <c r="C9" s="119" t="s">
        <v>275</v>
      </c>
      <c r="D9" s="120"/>
      <c r="E9" s="120"/>
      <c r="F9" s="120"/>
      <c r="G9" s="121"/>
      <c r="H9" s="122" t="s">
        <v>276</v>
      </c>
      <c r="I9" s="131"/>
      <c r="J9" s="131"/>
      <c r="K9" s="131"/>
      <c r="L9" s="132"/>
      <c r="M9" s="122" t="s">
        <v>277</v>
      </c>
      <c r="N9" s="131"/>
      <c r="O9" s="131"/>
      <c r="P9" s="131"/>
      <c r="Q9" s="132"/>
      <c r="R9" s="122" t="s">
        <v>278</v>
      </c>
      <c r="S9" s="131"/>
      <c r="T9" s="131"/>
      <c r="U9" s="131"/>
      <c r="V9" s="132"/>
    </row>
    <row r="10" customHeight="1" spans="1:22">
      <c r="A10" s="95"/>
      <c r="B10" s="95"/>
      <c r="C10" s="123"/>
      <c r="D10" s="124"/>
      <c r="E10" s="124"/>
      <c r="F10" s="124"/>
      <c r="G10" s="125"/>
      <c r="H10" s="126"/>
      <c r="I10" s="133"/>
      <c r="J10" s="133"/>
      <c r="K10" s="133"/>
      <c r="L10" s="134"/>
      <c r="M10" s="126"/>
      <c r="N10" s="133"/>
      <c r="O10" s="133"/>
      <c r="P10" s="133"/>
      <c r="Q10" s="134"/>
      <c r="R10" s="126"/>
      <c r="S10" s="133"/>
      <c r="T10" s="133"/>
      <c r="U10" s="133"/>
      <c r="V10" s="134"/>
    </row>
    <row r="11" customHeight="1" spans="1:22">
      <c r="A11" s="95" t="s">
        <v>83</v>
      </c>
      <c r="B11" s="95" t="s">
        <v>118</v>
      </c>
      <c r="C11" s="119" t="s">
        <v>279</v>
      </c>
      <c r="D11" s="120"/>
      <c r="E11" s="120"/>
      <c r="F11" s="120"/>
      <c r="G11" s="121"/>
      <c r="H11" s="122" t="s">
        <v>280</v>
      </c>
      <c r="I11" s="131"/>
      <c r="J11" s="131"/>
      <c r="K11" s="131"/>
      <c r="L11" s="132"/>
      <c r="M11" s="122" t="s">
        <v>281</v>
      </c>
      <c r="N11" s="131"/>
      <c r="O11" s="131"/>
      <c r="P11" s="131"/>
      <c r="Q11" s="132"/>
      <c r="R11" s="122" t="s">
        <v>282</v>
      </c>
      <c r="S11" s="131"/>
      <c r="T11" s="131"/>
      <c r="U11" s="131"/>
      <c r="V11" s="132"/>
    </row>
    <row r="12" customHeight="1" spans="1:22">
      <c r="A12" s="95"/>
      <c r="B12" s="95"/>
      <c r="C12" s="123"/>
      <c r="D12" s="124"/>
      <c r="E12" s="124"/>
      <c r="F12" s="124"/>
      <c r="G12" s="125"/>
      <c r="H12" s="126"/>
      <c r="I12" s="133"/>
      <c r="J12" s="133"/>
      <c r="K12" s="133"/>
      <c r="L12" s="134"/>
      <c r="M12" s="126"/>
      <c r="N12" s="133"/>
      <c r="O12" s="133"/>
      <c r="P12" s="133"/>
      <c r="Q12" s="134"/>
      <c r="R12" s="126"/>
      <c r="S12" s="133"/>
      <c r="T12" s="133"/>
      <c r="U12" s="133"/>
      <c r="V12" s="134"/>
    </row>
    <row r="13" customHeight="1" spans="1:21">
      <c r="A13" s="56" t="s">
        <v>283</v>
      </c>
      <c r="B13" s="56"/>
      <c r="C13" s="56"/>
      <c r="D13" s="56"/>
      <c r="E13" s="56"/>
      <c r="F13" s="56"/>
      <c r="G13" s="56"/>
      <c r="H13" s="56" t="s">
        <v>284</v>
      </c>
      <c r="I13" s="56"/>
      <c r="J13" s="56"/>
      <c r="K13" s="56"/>
      <c r="L13" s="56"/>
      <c r="M13" s="56"/>
      <c r="N13" s="56"/>
      <c r="O13" s="56" t="s">
        <v>284</v>
      </c>
      <c r="P13" s="56"/>
      <c r="Q13" s="56"/>
      <c r="R13" s="56"/>
      <c r="S13" s="56"/>
      <c r="T13" s="56"/>
      <c r="U13" s="56"/>
    </row>
    <row r="14" customHeight="1" spans="1:21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</row>
    <row r="15" customHeight="1" spans="1:21">
      <c r="A15" s="118" t="s">
        <v>161</v>
      </c>
      <c r="B15" s="118" t="s">
        <v>162</v>
      </c>
      <c r="C15" s="118" t="s">
        <v>285</v>
      </c>
      <c r="D15" s="118" t="s">
        <v>286</v>
      </c>
      <c r="E15" s="118"/>
      <c r="F15" s="118"/>
      <c r="G15" s="118"/>
      <c r="H15" s="118" t="s">
        <v>161</v>
      </c>
      <c r="I15" s="118" t="s">
        <v>162</v>
      </c>
      <c r="J15" s="118" t="s">
        <v>285</v>
      </c>
      <c r="K15" s="118" t="s">
        <v>286</v>
      </c>
      <c r="L15" s="118"/>
      <c r="M15" s="118"/>
      <c r="N15" s="118"/>
      <c r="O15" s="118" t="s">
        <v>161</v>
      </c>
      <c r="P15" s="118" t="s">
        <v>162</v>
      </c>
      <c r="Q15" s="118" t="s">
        <v>285</v>
      </c>
      <c r="R15" s="118" t="s">
        <v>286</v>
      </c>
      <c r="S15" s="118"/>
      <c r="T15" s="118"/>
      <c r="U15" s="118"/>
    </row>
    <row r="16" customHeight="1" spans="1:21">
      <c r="A16" s="95" t="s">
        <v>287</v>
      </c>
      <c r="B16" s="95" t="s">
        <v>288</v>
      </c>
      <c r="C16" s="95">
        <v>10</v>
      </c>
      <c r="D16" s="77" t="s">
        <v>289</v>
      </c>
      <c r="E16" s="77"/>
      <c r="F16" s="77"/>
      <c r="G16" s="77"/>
      <c r="H16" s="95"/>
      <c r="I16" s="95"/>
      <c r="J16" s="95"/>
      <c r="K16" s="77"/>
      <c r="L16" s="77"/>
      <c r="M16" s="77"/>
      <c r="N16" s="77"/>
      <c r="O16" s="95"/>
      <c r="P16" s="95"/>
      <c r="Q16" s="95"/>
      <c r="R16" s="77"/>
      <c r="S16" s="77"/>
      <c r="T16" s="77"/>
      <c r="U16" s="77"/>
    </row>
    <row r="17" customHeight="1" spans="1:21">
      <c r="A17" s="95"/>
      <c r="B17" s="95"/>
      <c r="C17" s="95"/>
      <c r="D17" s="77"/>
      <c r="E17" s="77"/>
      <c r="F17" s="77"/>
      <c r="G17" s="77"/>
      <c r="H17" s="95"/>
      <c r="I17" s="95"/>
      <c r="J17" s="95"/>
      <c r="K17" s="77"/>
      <c r="L17" s="77"/>
      <c r="M17" s="77"/>
      <c r="N17" s="77"/>
      <c r="O17" s="95"/>
      <c r="P17" s="95"/>
      <c r="Q17" s="95"/>
      <c r="R17" s="77"/>
      <c r="S17" s="77"/>
      <c r="T17" s="77"/>
      <c r="U17" s="77"/>
    </row>
    <row r="18" customHeight="1" spans="1:21">
      <c r="A18" s="95" t="s">
        <v>290</v>
      </c>
      <c r="B18" s="95" t="s">
        <v>291</v>
      </c>
      <c r="C18" s="95">
        <v>0</v>
      </c>
      <c r="D18" s="77" t="s">
        <v>270</v>
      </c>
      <c r="E18" s="77"/>
      <c r="F18" s="77"/>
      <c r="G18" s="77"/>
      <c r="H18" s="95"/>
      <c r="I18" s="95"/>
      <c r="J18" s="95"/>
      <c r="K18" s="77"/>
      <c r="L18" s="77"/>
      <c r="M18" s="77"/>
      <c r="N18" s="77"/>
      <c r="O18" s="95"/>
      <c r="P18" s="95"/>
      <c r="Q18" s="95"/>
      <c r="R18" s="77"/>
      <c r="S18" s="77"/>
      <c r="T18" s="77"/>
      <c r="U18" s="77"/>
    </row>
    <row r="19" customHeight="1" spans="1:21">
      <c r="A19" s="95"/>
      <c r="B19" s="95"/>
      <c r="C19" s="95"/>
      <c r="D19" s="77"/>
      <c r="E19" s="77"/>
      <c r="F19" s="77"/>
      <c r="G19" s="77"/>
      <c r="H19" s="95"/>
      <c r="I19" s="95"/>
      <c r="J19" s="95"/>
      <c r="K19" s="77"/>
      <c r="L19" s="77"/>
      <c r="M19" s="77"/>
      <c r="N19" s="77"/>
      <c r="O19" s="95"/>
      <c r="P19" s="95"/>
      <c r="Q19" s="95"/>
      <c r="R19" s="77"/>
      <c r="S19" s="77"/>
      <c r="T19" s="77"/>
      <c r="U19" s="77"/>
    </row>
    <row r="20" customHeight="1" spans="1:21">
      <c r="A20" s="95"/>
      <c r="B20" s="95"/>
      <c r="C20" s="95"/>
      <c r="D20" s="77"/>
      <c r="E20" s="77"/>
      <c r="F20" s="77"/>
      <c r="G20" s="77"/>
      <c r="H20" s="95"/>
      <c r="I20" s="95"/>
      <c r="J20" s="95"/>
      <c r="K20" s="77"/>
      <c r="L20" s="77"/>
      <c r="M20" s="77"/>
      <c r="N20" s="77"/>
      <c r="O20" s="95"/>
      <c r="P20" s="95"/>
      <c r="Q20" s="95"/>
      <c r="R20" s="77"/>
      <c r="S20" s="77"/>
      <c r="T20" s="77"/>
      <c r="U20" s="77"/>
    </row>
    <row r="21" customHeight="1" spans="1:21">
      <c r="A21" s="95"/>
      <c r="B21" s="95"/>
      <c r="C21" s="95"/>
      <c r="D21" s="77"/>
      <c r="E21" s="77"/>
      <c r="F21" s="77"/>
      <c r="G21" s="77"/>
      <c r="H21" s="95"/>
      <c r="I21" s="95"/>
      <c r="J21" s="95"/>
      <c r="K21" s="77"/>
      <c r="L21" s="77"/>
      <c r="M21" s="77"/>
      <c r="N21" s="77"/>
      <c r="O21" s="95"/>
      <c r="P21" s="95"/>
      <c r="Q21" s="95"/>
      <c r="R21" s="77"/>
      <c r="S21" s="77"/>
      <c r="T21" s="77"/>
      <c r="U21" s="77"/>
    </row>
    <row r="22" customHeight="1" spans="1:21">
      <c r="A22" s="95"/>
      <c r="B22" s="95"/>
      <c r="C22" s="95"/>
      <c r="D22" s="77"/>
      <c r="E22" s="77"/>
      <c r="F22" s="77"/>
      <c r="G22" s="77"/>
      <c r="H22" s="95"/>
      <c r="I22" s="95"/>
      <c r="J22" s="95"/>
      <c r="K22" s="77"/>
      <c r="L22" s="77"/>
      <c r="M22" s="77"/>
      <c r="N22" s="77"/>
      <c r="O22" s="95"/>
      <c r="P22" s="95"/>
      <c r="Q22" s="95"/>
      <c r="R22" s="77"/>
      <c r="S22" s="77"/>
      <c r="T22" s="77"/>
      <c r="U22" s="77"/>
    </row>
    <row r="23" customHeight="1" spans="1:21">
      <c r="A23" s="95"/>
      <c r="B23" s="95"/>
      <c r="C23" s="95"/>
      <c r="D23" s="77"/>
      <c r="E23" s="77"/>
      <c r="F23" s="77"/>
      <c r="G23" s="77"/>
      <c r="H23" s="95"/>
      <c r="I23" s="95"/>
      <c r="J23" s="95"/>
      <c r="K23" s="77"/>
      <c r="L23" s="77"/>
      <c r="M23" s="77"/>
      <c r="N23" s="77"/>
      <c r="O23" s="95"/>
      <c r="P23" s="95"/>
      <c r="Q23" s="95"/>
      <c r="R23" s="77"/>
      <c r="S23" s="77"/>
      <c r="T23" s="77"/>
      <c r="U23" s="77"/>
    </row>
    <row r="24" customHeight="1" spans="1:21">
      <c r="A24" s="95"/>
      <c r="B24" s="95"/>
      <c r="C24" s="95"/>
      <c r="D24" s="77"/>
      <c r="E24" s="77"/>
      <c r="F24" s="77"/>
      <c r="G24" s="77"/>
      <c r="H24" s="95"/>
      <c r="I24" s="95"/>
      <c r="J24" s="95"/>
      <c r="K24" s="77"/>
      <c r="L24" s="77"/>
      <c r="M24" s="77"/>
      <c r="N24" s="77"/>
      <c r="O24" s="95"/>
      <c r="P24" s="95"/>
      <c r="Q24" s="95"/>
      <c r="R24" s="77"/>
      <c r="S24" s="77"/>
      <c r="T24" s="77"/>
      <c r="U24" s="77"/>
    </row>
    <row r="25" customHeight="1" spans="1:21">
      <c r="A25" s="95"/>
      <c r="B25" s="95"/>
      <c r="C25" s="95"/>
      <c r="D25" s="77"/>
      <c r="E25" s="77"/>
      <c r="F25" s="77"/>
      <c r="G25" s="77"/>
      <c r="H25" s="95"/>
      <c r="I25" s="95"/>
      <c r="J25" s="95"/>
      <c r="K25" s="77"/>
      <c r="L25" s="77"/>
      <c r="M25" s="77"/>
      <c r="N25" s="77"/>
      <c r="O25" s="95"/>
      <c r="P25" s="95"/>
      <c r="Q25" s="95"/>
      <c r="R25" s="77"/>
      <c r="S25" s="77"/>
      <c r="T25" s="77"/>
      <c r="U25" s="77"/>
    </row>
    <row r="26" customHeight="1" spans="1:21">
      <c r="A26" s="95"/>
      <c r="B26" s="95"/>
      <c r="C26" s="95"/>
      <c r="D26" s="77"/>
      <c r="E26" s="77"/>
      <c r="F26" s="77"/>
      <c r="G26" s="77"/>
      <c r="H26" s="95"/>
      <c r="I26" s="95"/>
      <c r="J26" s="95"/>
      <c r="K26" s="77"/>
      <c r="L26" s="77"/>
      <c r="M26" s="77"/>
      <c r="N26" s="77"/>
      <c r="O26" s="95"/>
      <c r="P26" s="95"/>
      <c r="Q26" s="95"/>
      <c r="R26" s="77"/>
      <c r="S26" s="77"/>
      <c r="T26" s="77"/>
      <c r="U26" s="77"/>
    </row>
    <row r="27" customHeight="1" spans="1:21">
      <c r="A27" s="95"/>
      <c r="B27" s="95"/>
      <c r="C27" s="95"/>
      <c r="D27" s="77"/>
      <c r="E27" s="77"/>
      <c r="F27" s="77"/>
      <c r="G27" s="77"/>
      <c r="H27" s="95"/>
      <c r="I27" s="95"/>
      <c r="J27" s="95"/>
      <c r="K27" s="77"/>
      <c r="L27" s="77"/>
      <c r="M27" s="77"/>
      <c r="N27" s="77"/>
      <c r="O27" s="95"/>
      <c r="P27" s="95"/>
      <c r="Q27" s="95"/>
      <c r="R27" s="77"/>
      <c r="S27" s="77"/>
      <c r="T27" s="77"/>
      <c r="U27" s="77"/>
    </row>
  </sheetData>
  <mergeCells count="109">
    <mergeCell ref="A3:B3"/>
    <mergeCell ref="C3:G3"/>
    <mergeCell ref="C4:G4"/>
    <mergeCell ref="H4:L4"/>
    <mergeCell ref="M4:Q4"/>
    <mergeCell ref="R4:V4"/>
    <mergeCell ref="D15:G15"/>
    <mergeCell ref="K15:N15"/>
    <mergeCell ref="R15:U15"/>
    <mergeCell ref="A5:A6"/>
    <mergeCell ref="A7:A8"/>
    <mergeCell ref="A9:A10"/>
    <mergeCell ref="A11:A12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I16:I17"/>
    <mergeCell ref="I18:I19"/>
    <mergeCell ref="I20:I21"/>
    <mergeCell ref="I22:I23"/>
    <mergeCell ref="I24:I25"/>
    <mergeCell ref="I26:I27"/>
    <mergeCell ref="J16:J17"/>
    <mergeCell ref="J18:J19"/>
    <mergeCell ref="J20:J21"/>
    <mergeCell ref="J22:J23"/>
    <mergeCell ref="J24:J25"/>
    <mergeCell ref="J26:J27"/>
    <mergeCell ref="O16:O17"/>
    <mergeCell ref="O18:O19"/>
    <mergeCell ref="O20:O21"/>
    <mergeCell ref="O22:O23"/>
    <mergeCell ref="O24:O25"/>
    <mergeCell ref="O26:O27"/>
    <mergeCell ref="P16:P17"/>
    <mergeCell ref="P18:P19"/>
    <mergeCell ref="P20:P21"/>
    <mergeCell ref="P22:P23"/>
    <mergeCell ref="P24:P25"/>
    <mergeCell ref="P26:P27"/>
    <mergeCell ref="Q16:Q17"/>
    <mergeCell ref="Q18:Q19"/>
    <mergeCell ref="Q20:Q21"/>
    <mergeCell ref="Q22:Q23"/>
    <mergeCell ref="Q24:Q25"/>
    <mergeCell ref="Q26:Q27"/>
    <mergeCell ref="D24:G25"/>
    <mergeCell ref="D26:G27"/>
    <mergeCell ref="D20:G21"/>
    <mergeCell ref="D22:G23"/>
    <mergeCell ref="D16:G17"/>
    <mergeCell ref="D18:G19"/>
    <mergeCell ref="C11:G12"/>
    <mergeCell ref="H11:L12"/>
    <mergeCell ref="M11:Q12"/>
    <mergeCell ref="R11:V12"/>
    <mergeCell ref="C9:G10"/>
    <mergeCell ref="H9:L10"/>
    <mergeCell ref="M9:Q10"/>
    <mergeCell ref="R9:V10"/>
    <mergeCell ref="C5:G6"/>
    <mergeCell ref="H5:L6"/>
    <mergeCell ref="M5:Q6"/>
    <mergeCell ref="R5:V6"/>
    <mergeCell ref="A1:G2"/>
    <mergeCell ref="C7:G8"/>
    <mergeCell ref="H7:L8"/>
    <mergeCell ref="M7:Q8"/>
    <mergeCell ref="R7:V8"/>
    <mergeCell ref="A13:G14"/>
    <mergeCell ref="H13:N14"/>
    <mergeCell ref="O13:U14"/>
    <mergeCell ref="K16:N1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K26:N27"/>
    <mergeCell ref="R26:U27"/>
  </mergeCells>
  <conditionalFormatting sqref="H5:L6">
    <cfRule type="expression" dxfId="0" priority="12">
      <formula>NOT($B$5="原始")</formula>
    </cfRule>
  </conditionalFormatting>
  <conditionalFormatting sqref="M5:Q6">
    <cfRule type="expression" dxfId="0" priority="11">
      <formula>AND(NOT($B$5="原始"),NOT($B$5="初级"))</formula>
    </cfRule>
  </conditionalFormatting>
  <conditionalFormatting sqref="R5:V6">
    <cfRule type="expression" dxfId="0" priority="4">
      <formula>($B$5="上级")</formula>
    </cfRule>
  </conditionalFormatting>
  <conditionalFormatting sqref="H7:L8">
    <cfRule type="expression" dxfId="0" priority="10">
      <formula>NOT($B$7="原始")</formula>
    </cfRule>
  </conditionalFormatting>
  <conditionalFormatting sqref="M7:Q8">
    <cfRule type="expression" dxfId="0" priority="3">
      <formula>AND(NOT($B$7="原始"),NOT($B$7="初级"))</formula>
    </cfRule>
  </conditionalFormatting>
  <conditionalFormatting sqref="R7:V8">
    <cfRule type="expression" dxfId="0" priority="5">
      <formula>($B$7="上级")</formula>
    </cfRule>
  </conditionalFormatting>
  <conditionalFormatting sqref="H9:L10">
    <cfRule type="expression" dxfId="0" priority="9">
      <formula>NOT($B$9="原始")</formula>
    </cfRule>
  </conditionalFormatting>
  <conditionalFormatting sqref="M9:Q10">
    <cfRule type="expression" dxfId="0" priority="2">
      <formula>AND(NOT($B$9="原始"),NOT($B$9="初级"))</formula>
    </cfRule>
  </conditionalFormatting>
  <conditionalFormatting sqref="R9:V10">
    <cfRule type="expression" dxfId="0" priority="6">
      <formula>($B$9="上级")</formula>
    </cfRule>
  </conditionalFormatting>
  <conditionalFormatting sqref="H11:L12">
    <cfRule type="expression" dxfId="0" priority="8">
      <formula>NOT($B$11="原始")</formula>
    </cfRule>
  </conditionalFormatting>
  <conditionalFormatting sqref="M11:Q12">
    <cfRule type="expression" dxfId="0" priority="1">
      <formula>AND(NOT($B$11="原始"),NOT($B$11="初级"))</formula>
    </cfRule>
  </conditionalFormatting>
  <conditionalFormatting sqref="R11:V12">
    <cfRule type="expression" dxfId="0" priority="7">
      <formula>($B$11="上级")</formula>
    </cfRule>
  </conditionalFormatting>
  <dataValidations count="1">
    <dataValidation type="list" allowBlank="1" showInputMessage="1" showErrorMessage="1" sqref="B5:B12 X13:X20">
      <formula1>总表!$A$36:$A$39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V27"/>
  <sheetViews>
    <sheetView workbookViewId="0">
      <selection activeCell="O30" sqref="O30"/>
    </sheetView>
  </sheetViews>
  <sheetFormatPr defaultColWidth="9" defaultRowHeight="20.4" customHeight="1"/>
  <sheetData>
    <row r="1" customHeight="1" spans="1:7">
      <c r="A1" s="56" t="s">
        <v>60</v>
      </c>
      <c r="B1" s="56"/>
      <c r="C1" s="56"/>
      <c r="D1" s="56"/>
      <c r="E1" s="56"/>
      <c r="F1" s="56"/>
      <c r="G1" s="56"/>
    </row>
    <row r="2" customHeight="1" spans="1:7">
      <c r="A2" s="56"/>
      <c r="B2" s="56"/>
      <c r="C2" s="56"/>
      <c r="D2" s="56"/>
      <c r="E2" s="56"/>
      <c r="F2" s="56"/>
      <c r="G2" s="56"/>
    </row>
    <row r="3" customHeight="1" spans="1:7">
      <c r="A3" s="115" t="s">
        <v>260</v>
      </c>
      <c r="B3" s="116"/>
      <c r="C3" s="115">
        <f ca="1">IF(总表!C36=1,INT(INDIRECT("各种技能"&amp;"!G21")/6),INT(INDIRECT("各种技能"&amp;"!G21")/8))</f>
        <v>3</v>
      </c>
      <c r="D3" s="117"/>
      <c r="E3" s="117"/>
      <c r="F3" s="117"/>
      <c r="G3" s="116"/>
    </row>
    <row r="4" customHeight="1" spans="1:22">
      <c r="A4" s="118" t="s">
        <v>161</v>
      </c>
      <c r="B4" s="118" t="s">
        <v>160</v>
      </c>
      <c r="C4" s="115" t="s">
        <v>261</v>
      </c>
      <c r="D4" s="117"/>
      <c r="E4" s="117"/>
      <c r="F4" s="117"/>
      <c r="G4" s="116"/>
      <c r="H4" s="115" t="s">
        <v>262</v>
      </c>
      <c r="I4" s="117"/>
      <c r="J4" s="117"/>
      <c r="K4" s="117"/>
      <c r="L4" s="116"/>
      <c r="M4" s="115" t="s">
        <v>263</v>
      </c>
      <c r="N4" s="117"/>
      <c r="O4" s="117"/>
      <c r="P4" s="117"/>
      <c r="Q4" s="116"/>
      <c r="R4" s="115" t="s">
        <v>264</v>
      </c>
      <c r="S4" s="117"/>
      <c r="T4" s="117"/>
      <c r="U4" s="117"/>
      <c r="V4" s="116"/>
    </row>
    <row r="5" customHeight="1" spans="1:22">
      <c r="A5" s="95" t="s">
        <v>292</v>
      </c>
      <c r="B5" s="95" t="s">
        <v>118</v>
      </c>
      <c r="C5" s="119" t="s">
        <v>293</v>
      </c>
      <c r="D5" s="120"/>
      <c r="E5" s="120"/>
      <c r="F5" s="120"/>
      <c r="G5" s="121"/>
      <c r="H5" s="122" t="s">
        <v>294</v>
      </c>
      <c r="I5" s="131"/>
      <c r="J5" s="131"/>
      <c r="K5" s="131"/>
      <c r="L5" s="132"/>
      <c r="M5" s="122" t="s">
        <v>295</v>
      </c>
      <c r="N5" s="131"/>
      <c r="O5" s="131"/>
      <c r="P5" s="131"/>
      <c r="Q5" s="132"/>
      <c r="R5" s="122" t="s">
        <v>296</v>
      </c>
      <c r="S5" s="131"/>
      <c r="T5" s="131"/>
      <c r="U5" s="131"/>
      <c r="V5" s="132"/>
    </row>
    <row r="6" customHeight="1" spans="1:22">
      <c r="A6" s="95"/>
      <c r="B6" s="95"/>
      <c r="C6" s="123"/>
      <c r="D6" s="124"/>
      <c r="E6" s="124"/>
      <c r="F6" s="124"/>
      <c r="G6" s="125"/>
      <c r="H6" s="126"/>
      <c r="I6" s="133"/>
      <c r="J6" s="133"/>
      <c r="K6" s="133"/>
      <c r="L6" s="134"/>
      <c r="M6" s="126"/>
      <c r="N6" s="133"/>
      <c r="O6" s="133"/>
      <c r="P6" s="133"/>
      <c r="Q6" s="134"/>
      <c r="R6" s="126"/>
      <c r="S6" s="133"/>
      <c r="T6" s="133"/>
      <c r="U6" s="133"/>
      <c r="V6" s="134"/>
    </row>
    <row r="7" customHeight="1" spans="1:22">
      <c r="A7" s="95" t="s">
        <v>297</v>
      </c>
      <c r="B7" s="95" t="s">
        <v>118</v>
      </c>
      <c r="C7" s="119" t="s">
        <v>298</v>
      </c>
      <c r="D7" s="120"/>
      <c r="E7" s="120"/>
      <c r="F7" s="120"/>
      <c r="G7" s="121"/>
      <c r="H7" s="122" t="s">
        <v>299</v>
      </c>
      <c r="I7" s="131"/>
      <c r="J7" s="131"/>
      <c r="K7" s="131"/>
      <c r="L7" s="132"/>
      <c r="M7" s="122" t="s">
        <v>300</v>
      </c>
      <c r="N7" s="131"/>
      <c r="O7" s="131"/>
      <c r="P7" s="131"/>
      <c r="Q7" s="132"/>
      <c r="R7" s="122" t="s">
        <v>301</v>
      </c>
      <c r="S7" s="131"/>
      <c r="T7" s="131"/>
      <c r="U7" s="131"/>
      <c r="V7" s="132"/>
    </row>
    <row r="8" customHeight="1" spans="1:22">
      <c r="A8" s="95"/>
      <c r="B8" s="95"/>
      <c r="C8" s="123"/>
      <c r="D8" s="124"/>
      <c r="E8" s="124"/>
      <c r="F8" s="124"/>
      <c r="G8" s="125"/>
      <c r="H8" s="126"/>
      <c r="I8" s="133"/>
      <c r="J8" s="133"/>
      <c r="K8" s="133"/>
      <c r="L8" s="134"/>
      <c r="M8" s="126"/>
      <c r="N8" s="133"/>
      <c r="O8" s="133"/>
      <c r="P8" s="133"/>
      <c r="Q8" s="134"/>
      <c r="R8" s="126"/>
      <c r="S8" s="133"/>
      <c r="T8" s="133"/>
      <c r="U8" s="133"/>
      <c r="V8" s="134"/>
    </row>
    <row r="9" customHeight="1" spans="1:22">
      <c r="A9" s="95" t="s">
        <v>302</v>
      </c>
      <c r="B9" s="95" t="s">
        <v>118</v>
      </c>
      <c r="C9" s="119" t="s">
        <v>303</v>
      </c>
      <c r="D9" s="120"/>
      <c r="E9" s="120"/>
      <c r="F9" s="120"/>
      <c r="G9" s="121"/>
      <c r="H9" s="122" t="s">
        <v>304</v>
      </c>
      <c r="I9" s="131"/>
      <c r="J9" s="131"/>
      <c r="K9" s="131"/>
      <c r="L9" s="132"/>
      <c r="M9" s="122" t="s">
        <v>305</v>
      </c>
      <c r="N9" s="131"/>
      <c r="O9" s="131"/>
      <c r="P9" s="131"/>
      <c r="Q9" s="132"/>
      <c r="R9" s="122" t="s">
        <v>306</v>
      </c>
      <c r="S9" s="131"/>
      <c r="T9" s="131"/>
      <c r="U9" s="131"/>
      <c r="V9" s="132"/>
    </row>
    <row r="10" customHeight="1" spans="1:22">
      <c r="A10" s="95"/>
      <c r="B10" s="95"/>
      <c r="C10" s="123"/>
      <c r="D10" s="124"/>
      <c r="E10" s="124"/>
      <c r="F10" s="124"/>
      <c r="G10" s="125"/>
      <c r="H10" s="126"/>
      <c r="I10" s="133"/>
      <c r="J10" s="133"/>
      <c r="K10" s="133"/>
      <c r="L10" s="134"/>
      <c r="M10" s="126"/>
      <c r="N10" s="133"/>
      <c r="O10" s="133"/>
      <c r="P10" s="133"/>
      <c r="Q10" s="134"/>
      <c r="R10" s="126"/>
      <c r="S10" s="133"/>
      <c r="T10" s="133"/>
      <c r="U10" s="133"/>
      <c r="V10" s="134"/>
    </row>
    <row r="11" customHeight="1" spans="1:22">
      <c r="A11" s="95" t="s">
        <v>307</v>
      </c>
      <c r="B11" s="95" t="s">
        <v>118</v>
      </c>
      <c r="C11" s="119" t="s">
        <v>308</v>
      </c>
      <c r="D11" s="120"/>
      <c r="E11" s="120"/>
      <c r="F11" s="120"/>
      <c r="G11" s="121"/>
      <c r="H11" s="122" t="s">
        <v>309</v>
      </c>
      <c r="I11" s="131"/>
      <c r="J11" s="131"/>
      <c r="K11" s="131"/>
      <c r="L11" s="132"/>
      <c r="M11" s="122" t="s">
        <v>310</v>
      </c>
      <c r="N11" s="131"/>
      <c r="O11" s="131"/>
      <c r="P11" s="131"/>
      <c r="Q11" s="132"/>
      <c r="R11" s="122" t="s">
        <v>311</v>
      </c>
      <c r="S11" s="131"/>
      <c r="T11" s="131"/>
      <c r="U11" s="131"/>
      <c r="V11" s="132"/>
    </row>
    <row r="12" customHeight="1" spans="1:22">
      <c r="A12" s="69"/>
      <c r="B12" s="69"/>
      <c r="C12" s="127"/>
      <c r="D12" s="128"/>
      <c r="E12" s="128"/>
      <c r="F12" s="128"/>
      <c r="G12" s="129"/>
      <c r="H12" s="130"/>
      <c r="I12" s="135"/>
      <c r="J12" s="135"/>
      <c r="K12" s="135"/>
      <c r="L12" s="136"/>
      <c r="M12" s="130"/>
      <c r="N12" s="135"/>
      <c r="O12" s="135"/>
      <c r="P12" s="135"/>
      <c r="Q12" s="136"/>
      <c r="R12" s="130"/>
      <c r="S12" s="135"/>
      <c r="T12" s="135"/>
      <c r="U12" s="135"/>
      <c r="V12" s="136"/>
    </row>
    <row r="13" customHeight="1" spans="1:22">
      <c r="A13" s="56" t="s">
        <v>312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</row>
    <row r="14" customHeight="1" spans="1:22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</row>
    <row r="15" customHeight="1" spans="1:22">
      <c r="A15" s="118" t="s">
        <v>161</v>
      </c>
      <c r="B15" s="118" t="s">
        <v>164</v>
      </c>
      <c r="C15" s="118" t="s">
        <v>201</v>
      </c>
      <c r="D15" s="118" t="s">
        <v>286</v>
      </c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 t="s">
        <v>202</v>
      </c>
      <c r="R15" s="118" t="s">
        <v>205</v>
      </c>
      <c r="S15" s="118"/>
      <c r="T15" s="118"/>
      <c r="U15" s="118" t="s">
        <v>285</v>
      </c>
      <c r="V15" s="118" t="s">
        <v>82</v>
      </c>
    </row>
    <row r="16" customHeight="1" spans="1:22">
      <c r="A16" s="95" t="s">
        <v>313</v>
      </c>
      <c r="B16" s="95" t="s">
        <v>11</v>
      </c>
      <c r="C16" s="95">
        <f ca="1">LOOKUP(INDIRECT("rc[-1]",),INDIRECT("总表"&amp;"!A29:A34"),INDIRECT("总表"&amp;"!B29:B34"))</f>
        <v>50</v>
      </c>
      <c r="D16" s="107" t="s">
        <v>314</v>
      </c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95">
        <v>1</v>
      </c>
      <c r="R16" s="95">
        <v>0</v>
      </c>
      <c r="S16" s="95" t="s">
        <v>23</v>
      </c>
      <c r="T16" s="95" t="str">
        <f t="shared" ref="T16:T20" si="0">IF(Q16&lt;10,"6",IF(Q16&lt;20,"9",IF(Q16&lt;30,"12",18)))</f>
        <v>6</v>
      </c>
      <c r="U16" s="95">
        <v>5</v>
      </c>
      <c r="V16" s="108">
        <f>IF(SUM(L16,Q16)&lt;=50,SUM(L16,Q16),IF(SUM(L16,Q16)&lt;=80,(SUM(L16,Q16)-50)*0.7+50,(SUM(L16,Q16)-80)*0.4+71))</f>
        <v>1</v>
      </c>
    </row>
    <row r="17" customHeight="1" spans="1:22">
      <c r="A17" s="95"/>
      <c r="B17" s="95"/>
      <c r="C17" s="95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95"/>
      <c r="R17" s="95"/>
      <c r="S17" s="95"/>
      <c r="T17" s="95"/>
      <c r="U17" s="95"/>
      <c r="V17" s="108"/>
    </row>
    <row r="18" customHeight="1" spans="1:22">
      <c r="A18" s="95" t="s">
        <v>315</v>
      </c>
      <c r="B18" s="95" t="s">
        <v>11</v>
      </c>
      <c r="C18" s="95">
        <f ca="1" t="shared" ref="C18" si="1">LOOKUP(INDIRECT("rc[-1]",),INDIRECT("总表"&amp;"!A29:A34"),INDIRECT("总表"&amp;"!B29:B34"))</f>
        <v>50</v>
      </c>
      <c r="D18" s="107" t="s">
        <v>316</v>
      </c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95">
        <v>1</v>
      </c>
      <c r="R18" s="95">
        <v>0</v>
      </c>
      <c r="S18" s="95" t="s">
        <v>23</v>
      </c>
      <c r="T18" s="95" t="str">
        <f t="shared" si="0"/>
        <v>6</v>
      </c>
      <c r="U18" s="95">
        <v>10</v>
      </c>
      <c r="V18" s="108">
        <f>IF(SUM(L18,Q18)&lt;=50,SUM(L18,Q18),IF(SUM(L18,Q18)&lt;=80,(SUM(L18,Q18)-50)*0.7+50,(SUM(L18,Q18)-80)*0.4+71))</f>
        <v>1</v>
      </c>
    </row>
    <row r="19" customHeight="1" spans="1:22">
      <c r="A19" s="95"/>
      <c r="B19" s="95"/>
      <c r="C19" s="95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95"/>
      <c r="R19" s="95"/>
      <c r="S19" s="95"/>
      <c r="T19" s="95"/>
      <c r="U19" s="95"/>
      <c r="V19" s="108"/>
    </row>
    <row r="20" customHeight="1" spans="1:22">
      <c r="A20" s="95"/>
      <c r="B20" s="95" t="s">
        <v>11</v>
      </c>
      <c r="C20" s="95">
        <f ca="1" t="shared" ref="C20" si="2">LOOKUP(INDIRECT("rc[-1]",),INDIRECT("总表"&amp;"!A29:A34"),INDIRECT("总表"&amp;"!B29:B34"))</f>
        <v>50</v>
      </c>
      <c r="D20" s="107"/>
      <c r="E20" s="107"/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95">
        <v>1</v>
      </c>
      <c r="R20" s="95">
        <v>0</v>
      </c>
      <c r="S20" s="95" t="s">
        <v>23</v>
      </c>
      <c r="T20" s="95" t="str">
        <f t="shared" si="0"/>
        <v>6</v>
      </c>
      <c r="U20" s="95"/>
      <c r="V20" s="95"/>
    </row>
    <row r="21" customHeight="1" spans="1:22">
      <c r="A21" s="95"/>
      <c r="B21" s="95"/>
      <c r="C21" s="95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95"/>
      <c r="R21" s="95"/>
      <c r="S21" s="95"/>
      <c r="T21" s="95"/>
      <c r="U21" s="95"/>
      <c r="V21" s="95"/>
    </row>
    <row r="22" customHeight="1" spans="1:22">
      <c r="A22" s="95"/>
      <c r="B22" s="95" t="s">
        <v>11</v>
      </c>
      <c r="C22" s="95">
        <f ca="1" t="shared" ref="C22" si="3">LOOKUP(INDIRECT("rc[-1]",),INDIRECT("总表"&amp;"!A29:A34"),INDIRECT("总表"&amp;"!B29:B34"))</f>
        <v>50</v>
      </c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95">
        <v>1</v>
      </c>
      <c r="R22" s="95">
        <v>0</v>
      </c>
      <c r="S22" s="95" t="s">
        <v>23</v>
      </c>
      <c r="T22" s="95" t="str">
        <f t="shared" ref="T22:T26" si="4">IF(Q22&lt;10,"6",IF(Q22&lt;20,"9",IF(Q22&lt;30,"12",18)))</f>
        <v>6</v>
      </c>
      <c r="U22" s="95"/>
      <c r="V22" s="95"/>
    </row>
    <row r="23" customHeight="1" spans="1:22">
      <c r="A23" s="95"/>
      <c r="B23" s="95"/>
      <c r="C23" s="95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95"/>
      <c r="R23" s="95"/>
      <c r="S23" s="95"/>
      <c r="T23" s="95"/>
      <c r="U23" s="95"/>
      <c r="V23" s="95"/>
    </row>
    <row r="24" customHeight="1" spans="1:22">
      <c r="A24" s="95"/>
      <c r="B24" s="95" t="s">
        <v>11</v>
      </c>
      <c r="C24" s="95">
        <f ca="1" t="shared" ref="C24" si="5">LOOKUP(INDIRECT("rc[-1]",),INDIRECT("总表"&amp;"!A29:A34"),INDIRECT("总表"&amp;"!B29:B34"))</f>
        <v>50</v>
      </c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95">
        <v>1</v>
      </c>
      <c r="R24" s="95">
        <v>0</v>
      </c>
      <c r="S24" s="95" t="s">
        <v>23</v>
      </c>
      <c r="T24" s="95" t="str">
        <f t="shared" si="4"/>
        <v>6</v>
      </c>
      <c r="U24" s="95"/>
      <c r="V24" s="95"/>
    </row>
    <row r="25" customHeight="1" spans="1:22">
      <c r="A25" s="95"/>
      <c r="B25" s="95"/>
      <c r="C25" s="95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95"/>
      <c r="R25" s="95"/>
      <c r="S25" s="95"/>
      <c r="T25" s="95"/>
      <c r="U25" s="95"/>
      <c r="V25" s="95"/>
    </row>
    <row r="26" customHeight="1" spans="1:22">
      <c r="A26" s="95"/>
      <c r="B26" s="95" t="s">
        <v>11</v>
      </c>
      <c r="C26" s="95">
        <f ca="1" t="shared" ref="C26" si="6">LOOKUP(INDIRECT("rc[-1]",),INDIRECT("总表"&amp;"!A29:A34"),INDIRECT("总表"&amp;"!B29:B34"))</f>
        <v>50</v>
      </c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95">
        <v>1</v>
      </c>
      <c r="R26" s="95">
        <v>0</v>
      </c>
      <c r="S26" s="95" t="s">
        <v>23</v>
      </c>
      <c r="T26" s="95" t="str">
        <f t="shared" si="4"/>
        <v>6</v>
      </c>
      <c r="U26" s="95"/>
      <c r="V26" s="95"/>
    </row>
    <row r="27" customHeight="1" spans="1:22">
      <c r="A27" s="95"/>
      <c r="B27" s="95"/>
      <c r="C27" s="95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95"/>
      <c r="R27" s="95"/>
      <c r="S27" s="95"/>
      <c r="T27" s="95"/>
      <c r="U27" s="95"/>
      <c r="V27" s="95"/>
    </row>
  </sheetData>
  <mergeCells count="94">
    <mergeCell ref="A3:B3"/>
    <mergeCell ref="C3:G3"/>
    <mergeCell ref="C4:G4"/>
    <mergeCell ref="H4:L4"/>
    <mergeCell ref="M4:Q4"/>
    <mergeCell ref="R4:V4"/>
    <mergeCell ref="D15:P15"/>
    <mergeCell ref="R15:T15"/>
    <mergeCell ref="A5:A6"/>
    <mergeCell ref="A7:A8"/>
    <mergeCell ref="A9:A10"/>
    <mergeCell ref="A11:A12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C16:C17"/>
    <mergeCell ref="C18:C19"/>
    <mergeCell ref="C20:C21"/>
    <mergeCell ref="C22:C23"/>
    <mergeCell ref="C24:C25"/>
    <mergeCell ref="C26:C27"/>
    <mergeCell ref="Q16:Q17"/>
    <mergeCell ref="Q18:Q19"/>
    <mergeCell ref="Q20:Q21"/>
    <mergeCell ref="Q22:Q23"/>
    <mergeCell ref="Q24:Q25"/>
    <mergeCell ref="Q26:Q27"/>
    <mergeCell ref="R16:R17"/>
    <mergeCell ref="R18:R19"/>
    <mergeCell ref="R20:R21"/>
    <mergeCell ref="R22:R23"/>
    <mergeCell ref="R24:R25"/>
    <mergeCell ref="R26:R27"/>
    <mergeCell ref="S16:S17"/>
    <mergeCell ref="S18:S19"/>
    <mergeCell ref="S20:S21"/>
    <mergeCell ref="S22:S23"/>
    <mergeCell ref="S24:S25"/>
    <mergeCell ref="S26:S27"/>
    <mergeCell ref="T16:T17"/>
    <mergeCell ref="T18:T19"/>
    <mergeCell ref="T20:T21"/>
    <mergeCell ref="T22:T23"/>
    <mergeCell ref="T24:T25"/>
    <mergeCell ref="T26:T27"/>
    <mergeCell ref="U16:U17"/>
    <mergeCell ref="U18:U19"/>
    <mergeCell ref="U20:U21"/>
    <mergeCell ref="U22:U23"/>
    <mergeCell ref="U24:U25"/>
    <mergeCell ref="U26:U27"/>
    <mergeCell ref="V16:V17"/>
    <mergeCell ref="V18:V19"/>
    <mergeCell ref="V20:V21"/>
    <mergeCell ref="V22:V23"/>
    <mergeCell ref="V24:V25"/>
    <mergeCell ref="V26:V27"/>
    <mergeCell ref="C9:G10"/>
    <mergeCell ref="H9:L10"/>
    <mergeCell ref="M9:Q10"/>
    <mergeCell ref="R9:V10"/>
    <mergeCell ref="C11:G12"/>
    <mergeCell ref="H11:L12"/>
    <mergeCell ref="M11:Q12"/>
    <mergeCell ref="R11:V12"/>
    <mergeCell ref="C7:G8"/>
    <mergeCell ref="H7:L8"/>
    <mergeCell ref="M7:Q8"/>
    <mergeCell ref="R7:V8"/>
    <mergeCell ref="A1:G2"/>
    <mergeCell ref="C5:G6"/>
    <mergeCell ref="H5:L6"/>
    <mergeCell ref="M5:Q6"/>
    <mergeCell ref="R5:V6"/>
    <mergeCell ref="A13:V14"/>
    <mergeCell ref="D16:P17"/>
    <mergeCell ref="D18:P19"/>
    <mergeCell ref="D20:P21"/>
    <mergeCell ref="D22:P23"/>
    <mergeCell ref="D24:P25"/>
    <mergeCell ref="D26:P27"/>
  </mergeCells>
  <conditionalFormatting sqref="H5:L6">
    <cfRule type="expression" dxfId="0" priority="12">
      <formula>NOT($B$5="原始")</formula>
    </cfRule>
  </conditionalFormatting>
  <conditionalFormatting sqref="M5:Q6">
    <cfRule type="expression" dxfId="0" priority="11">
      <formula>AND(NOT($B$5="原始"),NOT($B$5="初级"))</formula>
    </cfRule>
  </conditionalFormatting>
  <conditionalFormatting sqref="R5:V6">
    <cfRule type="expression" dxfId="0" priority="1">
      <formula>($B$5="上级")</formula>
    </cfRule>
  </conditionalFormatting>
  <conditionalFormatting sqref="H7:L8">
    <cfRule type="expression" dxfId="0" priority="7">
      <formula>NOT($B$7="原始")</formula>
    </cfRule>
  </conditionalFormatting>
  <conditionalFormatting sqref="M7:Q8">
    <cfRule type="expression" dxfId="0" priority="10">
      <formula>AND(NOT($B$7="原始"),NOT($B$7="初级"))</formula>
    </cfRule>
  </conditionalFormatting>
  <conditionalFormatting sqref="R7:V8">
    <cfRule type="expression" dxfId="0" priority="2">
      <formula>($B$7="上级")</formula>
    </cfRule>
  </conditionalFormatting>
  <conditionalFormatting sqref="H9:L10">
    <cfRule type="expression" dxfId="0" priority="6">
      <formula>NOT($B$9="原始")</formula>
    </cfRule>
  </conditionalFormatting>
  <conditionalFormatting sqref="M9:Q10">
    <cfRule type="expression" dxfId="0" priority="9">
      <formula>AND(NOT($B$9="原始"),NOT($B$9="初级"))</formula>
    </cfRule>
  </conditionalFormatting>
  <conditionalFormatting sqref="R9:V10">
    <cfRule type="expression" dxfId="0" priority="3">
      <formula>($B$9="上级")</formula>
    </cfRule>
  </conditionalFormatting>
  <conditionalFormatting sqref="H11:L12">
    <cfRule type="expression" dxfId="0" priority="5">
      <formula>NOT($B$11="原始")</formula>
    </cfRule>
  </conditionalFormatting>
  <conditionalFormatting sqref="M11:Q12">
    <cfRule type="expression" dxfId="0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dataValidations count="1">
    <dataValidation type="list" allowBlank="1" showInputMessage="1" showErrorMessage="1" sqref="B5:B12">
      <formula1>总表!$A$36:$A$39</formula1>
    </dataValidation>
  </dataValidations>
  <pageMargins left="0.7" right="0.7" top="0.75" bottom="0.75" header="0.3" footer="0.3"/>
  <headerFooter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W57"/>
  <sheetViews>
    <sheetView workbookViewId="0">
      <selection activeCell="R6" sqref="R6"/>
    </sheetView>
  </sheetViews>
  <sheetFormatPr defaultColWidth="9" defaultRowHeight="18" customHeight="1"/>
  <cols>
    <col min="1" max="3" width="12.2222222222222" customWidth="1"/>
    <col min="4" max="4" width="23.1111111111111" customWidth="1"/>
    <col min="5" max="5" width="9.11111111111111" customWidth="1"/>
  </cols>
  <sheetData>
    <row r="1" customHeight="1" spans="1:23">
      <c r="A1" s="56" t="s">
        <v>317</v>
      </c>
      <c r="B1" s="56"/>
      <c r="C1" s="56"/>
      <c r="D1" s="56"/>
      <c r="F1" s="57" t="s">
        <v>318</v>
      </c>
      <c r="G1" s="58"/>
      <c r="H1" s="58"/>
      <c r="I1" s="58"/>
      <c r="J1" s="58"/>
      <c r="K1" s="58"/>
      <c r="L1" s="58"/>
      <c r="M1" s="58"/>
      <c r="N1" s="58"/>
      <c r="O1" s="58"/>
      <c r="P1" s="58"/>
      <c r="Q1" s="98"/>
      <c r="S1" s="99" t="s">
        <v>319</v>
      </c>
      <c r="T1" s="100"/>
      <c r="U1" s="100"/>
      <c r="V1" s="100"/>
      <c r="W1" s="101"/>
    </row>
    <row r="2" customHeight="1" spans="1:23">
      <c r="A2" s="56"/>
      <c r="B2" s="56"/>
      <c r="C2" s="56"/>
      <c r="D2" s="56"/>
      <c r="F2" s="59"/>
      <c r="G2" s="60"/>
      <c r="H2" s="60"/>
      <c r="I2" s="60"/>
      <c r="J2" s="60"/>
      <c r="K2" s="60"/>
      <c r="L2" s="60"/>
      <c r="M2" s="60"/>
      <c r="N2" s="60"/>
      <c r="O2" s="60"/>
      <c r="P2" s="60"/>
      <c r="Q2" s="102"/>
      <c r="S2" s="103"/>
      <c r="T2" s="104"/>
      <c r="U2" s="104"/>
      <c r="V2" s="104"/>
      <c r="W2" s="105"/>
    </row>
    <row r="3" customHeight="1" spans="1:23">
      <c r="A3" s="61" t="s">
        <v>320</v>
      </c>
      <c r="B3" s="61" t="s">
        <v>321</v>
      </c>
      <c r="C3" s="62" t="s">
        <v>322</v>
      </c>
      <c r="D3" s="63"/>
      <c r="E3" s="64"/>
      <c r="F3" s="65" t="s">
        <v>161</v>
      </c>
      <c r="G3" s="65" t="s">
        <v>323</v>
      </c>
      <c r="H3" s="65" t="s">
        <v>286</v>
      </c>
      <c r="I3" s="65"/>
      <c r="J3" s="65"/>
      <c r="K3" s="65"/>
      <c r="L3" s="65" t="s">
        <v>202</v>
      </c>
      <c r="M3" s="65" t="s">
        <v>205</v>
      </c>
      <c r="N3" s="65"/>
      <c r="O3" s="65"/>
      <c r="P3" s="65" t="s">
        <v>285</v>
      </c>
      <c r="Q3" s="65" t="s">
        <v>82</v>
      </c>
      <c r="S3" s="106" t="s">
        <v>324</v>
      </c>
      <c r="T3" s="106"/>
      <c r="U3" s="107" t="str">
        <f ca="1">IF(B25&lt;2,"10",IF(B25&lt;30,"2000",IF(B25&lt;70,"2500",IF(B25&lt;110,"3000","3500"))))</f>
        <v>10</v>
      </c>
      <c r="V3" s="107"/>
      <c r="W3" s="107"/>
    </row>
    <row r="4" customHeight="1" spans="1:23">
      <c r="A4" s="66"/>
      <c r="B4" s="66"/>
      <c r="C4" s="67"/>
      <c r="D4" s="68"/>
      <c r="E4" s="64"/>
      <c r="F4" s="69"/>
      <c r="G4" s="69" t="s">
        <v>325</v>
      </c>
      <c r="H4" s="70"/>
      <c r="I4" s="93"/>
      <c r="J4" s="93"/>
      <c r="K4" s="94"/>
      <c r="L4" s="69">
        <v>1</v>
      </c>
      <c r="M4" s="69">
        <v>0</v>
      </c>
      <c r="N4" s="69" t="s">
        <v>23</v>
      </c>
      <c r="O4" s="95" t="str">
        <f>IF(L4&lt;10,"6",IF(L4&lt;20,"9",IF(L4&lt;30,"12",18)))</f>
        <v>6</v>
      </c>
      <c r="P4" s="69">
        <v>5</v>
      </c>
      <c r="Q4" s="108">
        <f ca="1">IF(SUM(INDIRECT("总表"&amp;"!K13"),L4)&lt;=50,SUM(INDIRECT("总表"&amp;"!K13"),L4),IF(SUM(INDIRECT("总表"&amp;"!K13"),L4)&lt;=80,(SUM(INDIRECT("总表"&amp;"!K13"),L4)-50)*0.7+50,(SUM(INDIRECT("总表"&amp;"!K13"),L4)-80)*0.4+71))</f>
        <v>31</v>
      </c>
      <c r="S4" s="106"/>
      <c r="T4" s="106"/>
      <c r="U4" s="107"/>
      <c r="V4" s="107"/>
      <c r="W4" s="107"/>
    </row>
    <row r="5" customHeight="1" spans="1:23">
      <c r="A5" s="71" t="s">
        <v>326</v>
      </c>
      <c r="B5" s="71" t="s">
        <v>327</v>
      </c>
      <c r="C5" s="71" t="s">
        <v>328</v>
      </c>
      <c r="D5" s="71" t="s">
        <v>329</v>
      </c>
      <c r="E5" s="72"/>
      <c r="F5" s="73"/>
      <c r="G5" s="73"/>
      <c r="H5" s="74"/>
      <c r="I5" s="96"/>
      <c r="J5" s="96"/>
      <c r="K5" s="97"/>
      <c r="L5" s="73"/>
      <c r="M5" s="73"/>
      <c r="N5" s="73"/>
      <c r="O5" s="95"/>
      <c r="P5" s="73"/>
      <c r="Q5" s="108"/>
      <c r="S5" s="106" t="s">
        <v>330</v>
      </c>
      <c r="T5" s="106"/>
      <c r="U5" s="107">
        <v>0</v>
      </c>
      <c r="V5" s="107"/>
      <c r="W5" s="107"/>
    </row>
    <row r="6" customHeight="1" spans="1:23">
      <c r="A6" s="75" t="s">
        <v>325</v>
      </c>
      <c r="B6" s="75">
        <f ca="1">IF(B3=A6,SUMIF(G:L,A6,L:L),SUMIF(G:L,A6,L:L)/2)</f>
        <v>0.5</v>
      </c>
      <c r="C6" s="76">
        <f ca="1">IF(B6&lt;15,1,IF(B6&lt;45,2,IF(B6&lt;105,3,IF(B6&lt;165,4,5))))</f>
        <v>1</v>
      </c>
      <c r="D6" s="77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78"/>
      <c r="F6" s="69"/>
      <c r="G6" s="69" t="s">
        <v>331</v>
      </c>
      <c r="H6" s="70"/>
      <c r="I6" s="93"/>
      <c r="J6" s="93"/>
      <c r="K6" s="94"/>
      <c r="L6" s="69">
        <v>1</v>
      </c>
      <c r="M6" s="69">
        <v>0</v>
      </c>
      <c r="N6" s="69" t="s">
        <v>23</v>
      </c>
      <c r="O6" s="95" t="str">
        <f t="shared" ref="O6" si="0">IF(L6&lt;10,"6",IF(L6&lt;20,"9",IF(L6&lt;30,"12",18)))</f>
        <v>6</v>
      </c>
      <c r="P6" s="69">
        <v>5</v>
      </c>
      <c r="Q6" s="108">
        <f ca="1" t="shared" ref="Q6" si="1">IF(SUM(INDIRECT("总表"&amp;"!K13"),L6)&lt;=50,SUM(INDIRECT("总表"&amp;"!K13"),L6),IF(SUM(INDIRECT("总表"&amp;"!K13"),L6)&lt;=80,(SUM(INDIRECT("总表"&amp;"!K13"),L6)-50)*0.7+50,(SUM(INDIRECT("总表"&amp;"!K13"),L6)-80)*0.4+71))</f>
        <v>31</v>
      </c>
      <c r="S6" s="106"/>
      <c r="T6" s="106"/>
      <c r="U6" s="107"/>
      <c r="V6" s="107"/>
      <c r="W6" s="107"/>
    </row>
    <row r="7" customHeight="1" spans="1:23">
      <c r="A7" s="75"/>
      <c r="B7" s="75"/>
      <c r="C7" s="79"/>
      <c r="D7" s="77"/>
      <c r="E7" s="78"/>
      <c r="F7" s="73"/>
      <c r="G7" s="73"/>
      <c r="H7" s="74"/>
      <c r="I7" s="96"/>
      <c r="J7" s="96"/>
      <c r="K7" s="97"/>
      <c r="L7" s="73"/>
      <c r="M7" s="73"/>
      <c r="N7" s="73"/>
      <c r="O7" s="95"/>
      <c r="P7" s="73"/>
      <c r="Q7" s="108"/>
      <c r="S7" s="99" t="s">
        <v>332</v>
      </c>
      <c r="T7" s="100"/>
      <c r="U7" s="100"/>
      <c r="V7" s="100"/>
      <c r="W7" s="101"/>
    </row>
    <row r="8" customHeight="1" spans="1:23">
      <c r="A8" s="75"/>
      <c r="B8" s="75"/>
      <c r="C8" s="79"/>
      <c r="D8" s="77"/>
      <c r="E8" s="78"/>
      <c r="F8" s="69"/>
      <c r="G8" s="69" t="s">
        <v>321</v>
      </c>
      <c r="H8" s="70"/>
      <c r="I8" s="93"/>
      <c r="J8" s="93"/>
      <c r="K8" s="94"/>
      <c r="L8" s="69">
        <v>1</v>
      </c>
      <c r="M8" s="69">
        <v>0</v>
      </c>
      <c r="N8" s="69" t="s">
        <v>23</v>
      </c>
      <c r="O8" s="95" t="str">
        <f t="shared" ref="O8" si="2">IF(L8&lt;10,"6",IF(L8&lt;20,"9",IF(L8&lt;30,"12",18)))</f>
        <v>6</v>
      </c>
      <c r="P8" s="69">
        <v>5</v>
      </c>
      <c r="Q8" s="108">
        <f ca="1" t="shared" ref="Q8" si="3">IF(SUM(INDIRECT("总表"&amp;"!K13"),L8)&lt;=50,SUM(INDIRECT("总表"&amp;"!K13"),L8),IF(SUM(INDIRECT("总表"&amp;"!K13"),L8)&lt;=80,(SUM(INDIRECT("总表"&amp;"!K13"),L8)-50)*0.7+50,(SUM(INDIRECT("总表"&amp;"!K13"),L8)-80)*0.4+71))</f>
        <v>31</v>
      </c>
      <c r="S8" s="103"/>
      <c r="T8" s="104"/>
      <c r="U8" s="104"/>
      <c r="V8" s="104"/>
      <c r="W8" s="105"/>
    </row>
    <row r="9" customHeight="1" spans="1:23">
      <c r="A9" s="75"/>
      <c r="B9" s="75"/>
      <c r="C9" s="79"/>
      <c r="D9" s="77"/>
      <c r="E9" s="78"/>
      <c r="F9" s="73"/>
      <c r="G9" s="73"/>
      <c r="H9" s="74"/>
      <c r="I9" s="96"/>
      <c r="J9" s="96"/>
      <c r="K9" s="97"/>
      <c r="L9" s="73"/>
      <c r="M9" s="73"/>
      <c r="N9" s="73"/>
      <c r="O9" s="95"/>
      <c r="P9" s="73"/>
      <c r="Q9" s="108"/>
      <c r="S9" s="109" t="s">
        <v>161</v>
      </c>
      <c r="T9" s="109" t="s">
        <v>333</v>
      </c>
      <c r="U9" s="110" t="s">
        <v>180</v>
      </c>
      <c r="V9" s="111"/>
      <c r="W9" s="112"/>
    </row>
    <row r="10" customHeight="1" spans="1:23">
      <c r="A10" s="75"/>
      <c r="B10" s="75"/>
      <c r="C10" s="80"/>
      <c r="D10" s="77"/>
      <c r="E10" s="78"/>
      <c r="F10" s="69"/>
      <c r="G10" s="69" t="s">
        <v>334</v>
      </c>
      <c r="H10" s="70"/>
      <c r="I10" s="93"/>
      <c r="J10" s="93"/>
      <c r="K10" s="94"/>
      <c r="L10" s="69">
        <v>1</v>
      </c>
      <c r="M10" s="69">
        <v>0</v>
      </c>
      <c r="N10" s="69" t="s">
        <v>23</v>
      </c>
      <c r="O10" s="95" t="str">
        <f t="shared" ref="O10" si="4">IF(L10&lt;10,"6",IF(L10&lt;20,"9",IF(L10&lt;30,"12",18)))</f>
        <v>6</v>
      </c>
      <c r="P10" s="69">
        <v>5</v>
      </c>
      <c r="Q10" s="108">
        <f ca="1" t="shared" ref="Q10" si="5">IF(SUM(INDIRECT("总表"&amp;"!K13"),L10)&lt;=50,SUM(INDIRECT("总表"&amp;"!K13"),L10),IF(SUM(INDIRECT("总表"&amp;"!K13"),L10)&lt;=80,(SUM(INDIRECT("总表"&amp;"!K13"),L10)-50)*0.7+50,(SUM(INDIRECT("总表"&amp;"!K13"),L10)-80)*0.4+71))</f>
        <v>31</v>
      </c>
      <c r="S10" s="113"/>
      <c r="T10" s="113"/>
      <c r="U10" s="70"/>
      <c r="V10" s="93"/>
      <c r="W10" s="94"/>
    </row>
    <row r="11" customHeight="1" spans="1:23">
      <c r="A11" s="75" t="s">
        <v>331</v>
      </c>
      <c r="B11" s="75">
        <f ca="1">IF(B3=A11,SUMIF(G:L,A11,L:L),SUMIF(G:L,A11,L:L)/2)</f>
        <v>0.5</v>
      </c>
      <c r="C11" s="76">
        <f ca="1">IF(B11&lt;10,1,IF(B11&lt;30,2,IF(B11&lt;70,3,IF(B11&lt;110,4,5))))</f>
        <v>1</v>
      </c>
      <c r="D11" s="77" t="str">
        <f ca="1">IF(B11&lt;10,"抵消检定值超过阈值的惩罚、魔法效果+0.5倍",IF(B11&lt;30,"抵消检定值超过阈值的惩罚、魔法效果+0.5倍、射程+3，作用目标数+1",IF(B11&lt;70,"抵消检定值超过阈值的惩罚、魔法效果+0.5倍、射程+3，作用目标数+1、有效范围+1，buff持续时间+1.0倍",IF(B11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11" s="78"/>
      <c r="F11" s="73"/>
      <c r="G11" s="73"/>
      <c r="H11" s="74"/>
      <c r="I11" s="96"/>
      <c r="J11" s="96"/>
      <c r="K11" s="97"/>
      <c r="L11" s="73"/>
      <c r="M11" s="73"/>
      <c r="N11" s="73"/>
      <c r="O11" s="95"/>
      <c r="P11" s="73"/>
      <c r="Q11" s="108"/>
      <c r="S11" s="114"/>
      <c r="T11" s="114"/>
      <c r="U11" s="74"/>
      <c r="V11" s="96"/>
      <c r="W11" s="97"/>
    </row>
    <row r="12" customHeight="1" spans="1:23">
      <c r="A12" s="75"/>
      <c r="B12" s="75"/>
      <c r="C12" s="79"/>
      <c r="D12" s="77"/>
      <c r="E12" s="78"/>
      <c r="F12" s="69"/>
      <c r="G12" s="69"/>
      <c r="H12" s="70"/>
      <c r="I12" s="93"/>
      <c r="J12" s="93"/>
      <c r="K12" s="94"/>
      <c r="L12" s="69">
        <v>1</v>
      </c>
      <c r="M12" s="69">
        <v>0</v>
      </c>
      <c r="N12" s="69" t="s">
        <v>23</v>
      </c>
      <c r="O12" s="95" t="str">
        <f t="shared" ref="O12" si="6">IF(L12&lt;10,"6",IF(L12&lt;20,"9",IF(L12&lt;30,"12",18)))</f>
        <v>6</v>
      </c>
      <c r="P12" s="69">
        <v>5</v>
      </c>
      <c r="Q12" s="108">
        <f ca="1" t="shared" ref="Q12" si="7">IF(SUM(INDIRECT("总表"&amp;"!K13"),L12)&lt;=50,SUM(INDIRECT("总表"&amp;"!K13"),L12),IF(SUM(INDIRECT("总表"&amp;"!K13"),L12)&lt;=80,(SUM(INDIRECT("总表"&amp;"!K13"),L12)-50)*0.7+50,(SUM(INDIRECT("总表"&amp;"!K13"),L12)-80)*0.4+71))</f>
        <v>31</v>
      </c>
      <c r="S12" s="113"/>
      <c r="T12" s="113"/>
      <c r="U12" s="70"/>
      <c r="V12" s="93"/>
      <c r="W12" s="94"/>
    </row>
    <row r="13" customHeight="1" spans="1:23">
      <c r="A13" s="75"/>
      <c r="B13" s="75"/>
      <c r="C13" s="79"/>
      <c r="D13" s="77"/>
      <c r="E13" s="78"/>
      <c r="F13" s="73"/>
      <c r="G13" s="73"/>
      <c r="H13" s="74"/>
      <c r="I13" s="96"/>
      <c r="J13" s="96"/>
      <c r="K13" s="97"/>
      <c r="L13" s="73"/>
      <c r="M13" s="73"/>
      <c r="N13" s="73"/>
      <c r="O13" s="95"/>
      <c r="P13" s="73"/>
      <c r="Q13" s="108"/>
      <c r="S13" s="114"/>
      <c r="T13" s="114"/>
      <c r="U13" s="74"/>
      <c r="V13" s="96"/>
      <c r="W13" s="97"/>
    </row>
    <row r="14" customHeight="1" spans="1:23">
      <c r="A14" s="75"/>
      <c r="B14" s="75"/>
      <c r="C14" s="79"/>
      <c r="D14" s="77"/>
      <c r="E14" s="78"/>
      <c r="F14" s="69"/>
      <c r="G14" s="69"/>
      <c r="H14" s="70"/>
      <c r="I14" s="93"/>
      <c r="J14" s="93"/>
      <c r="K14" s="94"/>
      <c r="L14" s="69">
        <v>1</v>
      </c>
      <c r="M14" s="69">
        <v>0</v>
      </c>
      <c r="N14" s="69" t="s">
        <v>23</v>
      </c>
      <c r="O14" s="95" t="str">
        <f t="shared" ref="O14:O18" si="8">IF(L14&lt;10,"6",IF(L14&lt;20,"9",IF(L14&lt;30,"12",18)))</f>
        <v>6</v>
      </c>
      <c r="P14" s="69">
        <v>5</v>
      </c>
      <c r="Q14" s="108">
        <f ca="1" t="shared" ref="Q14:Q18" si="9">IF(SUM(INDIRECT("总表"&amp;"!K13"),L14)&lt;=50,SUM(INDIRECT("总表"&amp;"!K13"),L14),IF(SUM(INDIRECT("总表"&amp;"!K13"),L14)&lt;=80,(SUM(INDIRECT("总表"&amp;"!K13"),L14)-50)*0.7+50,(SUM(INDIRECT("总表"&amp;"!K13"),L14)-80)*0.4+71))</f>
        <v>31</v>
      </c>
      <c r="S14" s="113"/>
      <c r="T14" s="113"/>
      <c r="U14" s="70"/>
      <c r="V14" s="93"/>
      <c r="W14" s="94"/>
    </row>
    <row r="15" customHeight="1" spans="1:23">
      <c r="A15" s="75"/>
      <c r="B15" s="75"/>
      <c r="C15" s="80"/>
      <c r="D15" s="77"/>
      <c r="E15" s="78"/>
      <c r="F15" s="73"/>
      <c r="G15" s="73"/>
      <c r="H15" s="74"/>
      <c r="I15" s="96"/>
      <c r="J15" s="96"/>
      <c r="K15" s="97"/>
      <c r="L15" s="73"/>
      <c r="M15" s="73"/>
      <c r="N15" s="73"/>
      <c r="O15" s="95"/>
      <c r="P15" s="73"/>
      <c r="Q15" s="108"/>
      <c r="S15" s="114"/>
      <c r="T15" s="114"/>
      <c r="U15" s="74"/>
      <c r="V15" s="96"/>
      <c r="W15" s="97"/>
    </row>
    <row r="16" customHeight="1" spans="1:23">
      <c r="A16" s="76" t="s">
        <v>335</v>
      </c>
      <c r="B16" s="81">
        <f ca="1">AVERAGE(INDIRECT("总表"&amp;"!K3"),INDIRECT("总表"&amp;"!K5"),INDIRECT("总表"&amp;"!K7"),INDIRECT("总表"&amp;"!K9"),INDIRECT("总表"&amp;"!K11"))/10</f>
        <v>4.2</v>
      </c>
      <c r="C16" s="82"/>
      <c r="D16" s="83"/>
      <c r="E16" s="78"/>
      <c r="F16" s="69"/>
      <c r="G16" s="69"/>
      <c r="H16" s="70"/>
      <c r="I16" s="93"/>
      <c r="J16" s="93"/>
      <c r="K16" s="94"/>
      <c r="L16" s="69">
        <v>1</v>
      </c>
      <c r="M16" s="69">
        <v>0</v>
      </c>
      <c r="N16" s="69" t="s">
        <v>23</v>
      </c>
      <c r="O16" s="95" t="str">
        <f t="shared" si="8"/>
        <v>6</v>
      </c>
      <c r="P16" s="69">
        <v>5</v>
      </c>
      <c r="Q16" s="108">
        <f ca="1" t="shared" si="9"/>
        <v>31</v>
      </c>
      <c r="S16" s="113"/>
      <c r="T16" s="113"/>
      <c r="U16" s="70"/>
      <c r="V16" s="93"/>
      <c r="W16" s="94"/>
    </row>
    <row r="17" customHeight="1" spans="1:23">
      <c r="A17" s="80"/>
      <c r="B17" s="84"/>
      <c r="C17" s="85"/>
      <c r="D17" s="86"/>
      <c r="E17" s="78"/>
      <c r="F17" s="73"/>
      <c r="G17" s="73"/>
      <c r="H17" s="74"/>
      <c r="I17" s="96"/>
      <c r="J17" s="96"/>
      <c r="K17" s="97"/>
      <c r="L17" s="73"/>
      <c r="M17" s="73"/>
      <c r="N17" s="73"/>
      <c r="O17" s="95"/>
      <c r="P17" s="73"/>
      <c r="Q17" s="108"/>
      <c r="S17" s="114"/>
      <c r="T17" s="114"/>
      <c r="U17" s="74"/>
      <c r="V17" s="96"/>
      <c r="W17" s="97"/>
    </row>
    <row r="18" customHeight="1" spans="1:23">
      <c r="A18" s="76" t="s">
        <v>336</v>
      </c>
      <c r="B18" s="87" t="str">
        <f ca="1">IF(B11&lt;10,"不允许",IF(B11&lt;30,"允许免费获得一重过载",IF(B11&lt;70,"允许免费获得一重过载",IF(B11&lt;110,"允许免费获得二重过载","允许免费获得二重过载"))))</f>
        <v>不允许</v>
      </c>
      <c r="C18" s="88"/>
      <c r="D18" s="89"/>
      <c r="E18" s="78"/>
      <c r="F18" s="69"/>
      <c r="G18" s="69"/>
      <c r="H18" s="70"/>
      <c r="I18" s="93"/>
      <c r="J18" s="93"/>
      <c r="K18" s="94"/>
      <c r="L18" s="69">
        <v>1</v>
      </c>
      <c r="M18" s="69">
        <v>0</v>
      </c>
      <c r="N18" s="69" t="s">
        <v>23</v>
      </c>
      <c r="O18" s="95" t="str">
        <f t="shared" si="8"/>
        <v>6</v>
      </c>
      <c r="P18" s="69">
        <v>5</v>
      </c>
      <c r="Q18" s="108">
        <f ca="1" t="shared" si="9"/>
        <v>31</v>
      </c>
      <c r="S18" s="113"/>
      <c r="T18" s="113"/>
      <c r="U18" s="70"/>
      <c r="V18" s="93"/>
      <c r="W18" s="94"/>
    </row>
    <row r="19" customHeight="1" spans="1:23">
      <c r="A19" s="80"/>
      <c r="B19" s="90"/>
      <c r="C19" s="91"/>
      <c r="D19" s="92"/>
      <c r="E19" s="78"/>
      <c r="F19" s="73"/>
      <c r="G19" s="73"/>
      <c r="H19" s="74"/>
      <c r="I19" s="96"/>
      <c r="J19" s="96"/>
      <c r="K19" s="97"/>
      <c r="L19" s="73"/>
      <c r="M19" s="73"/>
      <c r="N19" s="73"/>
      <c r="O19" s="95"/>
      <c r="P19" s="73"/>
      <c r="Q19" s="108"/>
      <c r="S19" s="114"/>
      <c r="T19" s="114"/>
      <c r="U19" s="74"/>
      <c r="V19" s="96"/>
      <c r="W19" s="97"/>
    </row>
    <row r="20" customHeight="1" spans="1:23">
      <c r="A20" s="75" t="s">
        <v>321</v>
      </c>
      <c r="B20" s="75">
        <f ca="1">IF(B3=A20,SUMIF(G:L,A20,L:L),SUMIF(G:L,A20,L:L)/2)</f>
        <v>1</v>
      </c>
      <c r="C20" s="76">
        <f ca="1">IF(B20&lt;10,1,IF(B20&lt;30,2,IF(B20&lt;70,3,IF(B20&lt;110,4,5))))</f>
        <v>1</v>
      </c>
      <c r="D20" s="77" t="str">
        <f ca="1">IF(B20&lt;10,"无",IF(B20&lt;30,"第二个及第二个以上的魔法效果只消耗1行动点",IF(B20&lt;70,"第二个及第二个以上的魔法效果只消耗1行动点、所有魔法效果消耗SP减半",IF(B20&lt;110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E20" s="78"/>
      <c r="F20" s="69"/>
      <c r="G20" s="69"/>
      <c r="H20" s="70"/>
      <c r="I20" s="93"/>
      <c r="J20" s="93"/>
      <c r="K20" s="94"/>
      <c r="L20" s="69">
        <v>1</v>
      </c>
      <c r="M20" s="69">
        <v>0</v>
      </c>
      <c r="N20" s="69" t="s">
        <v>23</v>
      </c>
      <c r="O20" s="95" t="str">
        <f t="shared" ref="O20" si="10">IF(L20&lt;10,"6",IF(L20&lt;20,"9",IF(L20&lt;30,"12",18)))</f>
        <v>6</v>
      </c>
      <c r="P20" s="69">
        <v>5</v>
      </c>
      <c r="Q20" s="108">
        <f ca="1" t="shared" ref="Q20" si="11">IF(SUM(INDIRECT("总表"&amp;"!K13"),L20)&lt;=50,SUM(INDIRECT("总表"&amp;"!K13"),L20),IF(SUM(INDIRECT("总表"&amp;"!K13"),L20)&lt;=80,(SUM(INDIRECT("总表"&amp;"!K13"),L20)-50)*0.7+50,(SUM(INDIRECT("总表"&amp;"!K13"),L20)-80)*0.4+71))</f>
        <v>31</v>
      </c>
      <c r="S20" s="113"/>
      <c r="T20" s="113"/>
      <c r="U20" s="70"/>
      <c r="V20" s="93"/>
      <c r="W20" s="94"/>
    </row>
    <row r="21" customHeight="1" spans="1:23">
      <c r="A21" s="75"/>
      <c r="B21" s="75"/>
      <c r="C21" s="79"/>
      <c r="D21" s="77"/>
      <c r="E21" s="78"/>
      <c r="F21" s="73"/>
      <c r="G21" s="73"/>
      <c r="H21" s="74"/>
      <c r="I21" s="96"/>
      <c r="J21" s="96"/>
      <c r="K21" s="97"/>
      <c r="L21" s="73"/>
      <c r="M21" s="73"/>
      <c r="N21" s="73"/>
      <c r="O21" s="95"/>
      <c r="P21" s="73"/>
      <c r="Q21" s="108"/>
      <c r="S21" s="114"/>
      <c r="T21" s="114"/>
      <c r="U21" s="74"/>
      <c r="V21" s="96"/>
      <c r="W21" s="97"/>
    </row>
    <row r="22" customHeight="1" spans="1:23">
      <c r="A22" s="75"/>
      <c r="B22" s="75"/>
      <c r="C22" s="79"/>
      <c r="D22" s="77"/>
      <c r="E22" s="78"/>
      <c r="F22" s="69"/>
      <c r="G22" s="69"/>
      <c r="H22" s="70"/>
      <c r="I22" s="93"/>
      <c r="J22" s="93"/>
      <c r="K22" s="94"/>
      <c r="L22" s="69">
        <v>1</v>
      </c>
      <c r="M22" s="69">
        <v>0</v>
      </c>
      <c r="N22" s="69" t="s">
        <v>23</v>
      </c>
      <c r="O22" s="95" t="str">
        <f t="shared" ref="O22" si="12">IF(L22&lt;10,"6",IF(L22&lt;20,"9",IF(L22&lt;30,"12",18)))</f>
        <v>6</v>
      </c>
      <c r="P22" s="69">
        <v>5</v>
      </c>
      <c r="Q22" s="108">
        <f ca="1" t="shared" ref="Q22" si="13">IF(SUM(INDIRECT("总表"&amp;"!K13"),L22)&lt;=50,SUM(INDIRECT("总表"&amp;"!K13"),L22),IF(SUM(INDIRECT("总表"&amp;"!K13"),L22)&lt;=80,(SUM(INDIRECT("总表"&amp;"!K13"),L22)-50)*0.7+50,(SUM(INDIRECT("总表"&amp;"!K13"),L22)-80)*0.4+71))</f>
        <v>31</v>
      </c>
      <c r="S22" s="113"/>
      <c r="T22" s="113"/>
      <c r="U22" s="70"/>
      <c r="V22" s="93"/>
      <c r="W22" s="94"/>
    </row>
    <row r="23" customHeight="1" spans="1:23">
      <c r="A23" s="75"/>
      <c r="B23" s="75"/>
      <c r="C23" s="79"/>
      <c r="D23" s="77"/>
      <c r="E23" s="78"/>
      <c r="F23" s="73"/>
      <c r="G23" s="73"/>
      <c r="H23" s="74"/>
      <c r="I23" s="96"/>
      <c r="J23" s="96"/>
      <c r="K23" s="97"/>
      <c r="L23" s="73"/>
      <c r="M23" s="73"/>
      <c r="N23" s="73"/>
      <c r="O23" s="95"/>
      <c r="P23" s="73"/>
      <c r="Q23" s="108"/>
      <c r="S23" s="114"/>
      <c r="T23" s="114"/>
      <c r="U23" s="74"/>
      <c r="V23" s="96"/>
      <c r="W23" s="97"/>
    </row>
    <row r="24" customHeight="1" spans="1:23">
      <c r="A24" s="75"/>
      <c r="B24" s="75"/>
      <c r="C24" s="80"/>
      <c r="D24" s="77"/>
      <c r="E24" s="78"/>
      <c r="F24" s="69"/>
      <c r="G24" s="69"/>
      <c r="H24" s="70"/>
      <c r="I24" s="93"/>
      <c r="J24" s="93"/>
      <c r="K24" s="94"/>
      <c r="L24" s="69">
        <v>1</v>
      </c>
      <c r="M24" s="69">
        <v>0</v>
      </c>
      <c r="N24" s="69" t="s">
        <v>23</v>
      </c>
      <c r="O24" s="95" t="str">
        <f>IF(L24&lt;10,"6",IF(L24&lt;20,"9",IF(L24&lt;30,"12",18)))</f>
        <v>6</v>
      </c>
      <c r="P24" s="69">
        <v>5</v>
      </c>
      <c r="Q24" s="108">
        <f ca="1">IF(SUM(INDIRECT("总表"&amp;"!K13"),L24)&lt;=50,SUM(INDIRECT("总表"&amp;"!K13"),L24),IF(SUM(INDIRECT("总表"&amp;"!K13"),L24)&lt;=80,(SUM(INDIRECT("总表"&amp;"!K13"),L24)-50)*0.7+50,(SUM(INDIRECT("总表"&amp;"!K13"),L24)-80)*0.4+71))</f>
        <v>31</v>
      </c>
      <c r="S24" s="113"/>
      <c r="T24" s="113"/>
      <c r="U24" s="70"/>
      <c r="V24" s="93"/>
      <c r="W24" s="94"/>
    </row>
    <row r="25" customHeight="1" spans="1:23">
      <c r="A25" s="75" t="s">
        <v>334</v>
      </c>
      <c r="B25" s="75">
        <f ca="1">IF(B3=A25,SUMIF(G:L,A25,L:L),SUMIF(G:L,A25,L:L)/2)</f>
        <v>0.5</v>
      </c>
      <c r="C25" s="76">
        <f ca="1">IF(B25&lt;10,1,IF(B25&lt;30,2,IF(B25&lt;70,3,IF(B25&lt;110,4,5))))</f>
        <v>1</v>
      </c>
      <c r="D25" s="77" t="str">
        <f ca="1">IF(B25&lt;10,"回归指令、逼近指令",IF(B25&lt;30,"回归指令、逼近指令、借机指令、蹲伏指令",IF(B25&lt;70,"回归指令、逼近指令、借机指令、蹲伏指令、反击指令、加密指令",IF(B25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25" s="78"/>
      <c r="F25" s="73"/>
      <c r="G25" s="73"/>
      <c r="H25" s="74"/>
      <c r="I25" s="96"/>
      <c r="J25" s="96"/>
      <c r="K25" s="97"/>
      <c r="L25" s="73"/>
      <c r="M25" s="73"/>
      <c r="N25" s="73"/>
      <c r="O25" s="95"/>
      <c r="P25" s="73"/>
      <c r="Q25" s="108"/>
      <c r="S25" s="114"/>
      <c r="T25" s="114"/>
      <c r="U25" s="74"/>
      <c r="V25" s="96"/>
      <c r="W25" s="97"/>
    </row>
    <row r="26" customHeight="1" spans="1:23">
      <c r="A26" s="75"/>
      <c r="B26" s="75"/>
      <c r="C26" s="79"/>
      <c r="D26" s="77"/>
      <c r="E26" s="78"/>
      <c r="F26" s="69"/>
      <c r="G26" s="69"/>
      <c r="H26" s="70"/>
      <c r="I26" s="93"/>
      <c r="J26" s="93"/>
      <c r="K26" s="94"/>
      <c r="L26" s="69">
        <v>1</v>
      </c>
      <c r="M26" s="69">
        <v>0</v>
      </c>
      <c r="N26" s="69" t="s">
        <v>23</v>
      </c>
      <c r="O26" s="95" t="str">
        <f t="shared" ref="O26" si="14">IF(L26&lt;10,"6",IF(L26&lt;20,"9",IF(L26&lt;30,"12",18)))</f>
        <v>6</v>
      </c>
      <c r="P26" s="69">
        <v>5</v>
      </c>
      <c r="Q26" s="108">
        <f ca="1" t="shared" ref="Q26" si="15">IF(SUM(INDIRECT("总表"&amp;"!K13"),L26)&lt;=50,SUM(INDIRECT("总表"&amp;"!K13"),L26),IF(SUM(INDIRECT("总表"&amp;"!K13"),L26)&lt;=80,(SUM(INDIRECT("总表"&amp;"!K13"),L26)-50)*0.7+50,(SUM(INDIRECT("总表"&amp;"!K13"),L26)-80)*0.4+71))</f>
        <v>31</v>
      </c>
      <c r="S26" s="113"/>
      <c r="T26" s="113"/>
      <c r="U26" s="70"/>
      <c r="V26" s="93"/>
      <c r="W26" s="94"/>
    </row>
    <row r="27" customHeight="1" spans="1:23">
      <c r="A27" s="75"/>
      <c r="B27" s="75"/>
      <c r="C27" s="79"/>
      <c r="D27" s="77"/>
      <c r="E27" s="78"/>
      <c r="F27" s="73"/>
      <c r="G27" s="73"/>
      <c r="H27" s="74"/>
      <c r="I27" s="96"/>
      <c r="J27" s="96"/>
      <c r="K27" s="97"/>
      <c r="L27" s="73"/>
      <c r="M27" s="73"/>
      <c r="N27" s="73"/>
      <c r="O27" s="95"/>
      <c r="P27" s="73"/>
      <c r="Q27" s="108"/>
      <c r="S27" s="114"/>
      <c r="T27" s="114"/>
      <c r="U27" s="74"/>
      <c r="V27" s="96"/>
      <c r="W27" s="97"/>
    </row>
    <row r="28" customHeight="1" spans="1:23">
      <c r="A28" s="75"/>
      <c r="B28" s="75"/>
      <c r="C28" s="79"/>
      <c r="D28" s="77"/>
      <c r="E28" s="78"/>
      <c r="F28" s="69"/>
      <c r="G28" s="69"/>
      <c r="H28" s="70"/>
      <c r="I28" s="93"/>
      <c r="J28" s="93"/>
      <c r="K28" s="94"/>
      <c r="L28" s="69">
        <v>1</v>
      </c>
      <c r="M28" s="69">
        <v>0</v>
      </c>
      <c r="N28" s="69" t="s">
        <v>23</v>
      </c>
      <c r="O28" s="95" t="str">
        <f t="shared" ref="O28" si="16">IF(L28&lt;10,"6",IF(L28&lt;20,"9",IF(L28&lt;30,"12",18)))</f>
        <v>6</v>
      </c>
      <c r="P28" s="69">
        <v>5</v>
      </c>
      <c r="Q28" s="108">
        <f ca="1" t="shared" ref="Q28" si="17">IF(SUM(INDIRECT("总表"&amp;"!K13"),L28)&lt;=50,SUM(INDIRECT("总表"&amp;"!K13"),L28),IF(SUM(INDIRECT("总表"&amp;"!K13"),L28)&lt;=80,(SUM(INDIRECT("总表"&amp;"!K13"),L28)-50)*0.7+50,(SUM(INDIRECT("总表"&amp;"!K13"),L28)-80)*0.4+71))</f>
        <v>31</v>
      </c>
      <c r="S28" s="113"/>
      <c r="T28" s="113"/>
      <c r="U28" s="70"/>
      <c r="V28" s="93"/>
      <c r="W28" s="94"/>
    </row>
    <row r="29" customHeight="1" spans="1:23">
      <c r="A29" s="75"/>
      <c r="B29" s="75"/>
      <c r="C29" s="80"/>
      <c r="D29" s="77"/>
      <c r="E29" s="78"/>
      <c r="F29" s="73"/>
      <c r="G29" s="73"/>
      <c r="H29" s="74"/>
      <c r="I29" s="96"/>
      <c r="J29" s="96"/>
      <c r="K29" s="97"/>
      <c r="L29" s="73"/>
      <c r="M29" s="73"/>
      <c r="N29" s="73"/>
      <c r="O29" s="95"/>
      <c r="P29" s="73"/>
      <c r="Q29" s="108"/>
      <c r="S29" s="114"/>
      <c r="T29" s="114"/>
      <c r="U29" s="74"/>
      <c r="V29" s="96"/>
      <c r="W29" s="97"/>
    </row>
    <row r="54" customHeight="1" spans="1:1">
      <c r="A54" t="s">
        <v>325</v>
      </c>
    </row>
    <row r="55" customHeight="1" spans="1:1">
      <c r="A55" t="s">
        <v>331</v>
      </c>
    </row>
    <row r="56" customHeight="1" spans="1:1">
      <c r="A56" t="s">
        <v>321</v>
      </c>
    </row>
    <row r="57" customHeight="1" spans="1:1">
      <c r="A57" t="s">
        <v>334</v>
      </c>
    </row>
  </sheetData>
  <mergeCells count="181">
    <mergeCell ref="H3:K3"/>
    <mergeCell ref="M3:O3"/>
    <mergeCell ref="U9:W9"/>
    <mergeCell ref="A3:A4"/>
    <mergeCell ref="A6:A10"/>
    <mergeCell ref="A11:A15"/>
    <mergeCell ref="A16:A17"/>
    <mergeCell ref="A18:A19"/>
    <mergeCell ref="A20:A24"/>
    <mergeCell ref="A25:A29"/>
    <mergeCell ref="B3:B4"/>
    <mergeCell ref="B6:B10"/>
    <mergeCell ref="B11:B15"/>
    <mergeCell ref="B20:B24"/>
    <mergeCell ref="B25:B29"/>
    <mergeCell ref="C6:C10"/>
    <mergeCell ref="C11:C15"/>
    <mergeCell ref="C20:C24"/>
    <mergeCell ref="C25:C29"/>
    <mergeCell ref="D6:D10"/>
    <mergeCell ref="D11:D15"/>
    <mergeCell ref="D20:D24"/>
    <mergeCell ref="D25:D29"/>
    <mergeCell ref="F4:F5"/>
    <mergeCell ref="F6:F7"/>
    <mergeCell ref="F8:F9"/>
    <mergeCell ref="F10:F11"/>
    <mergeCell ref="F12:F13"/>
    <mergeCell ref="F14:F15"/>
    <mergeCell ref="F16:F17"/>
    <mergeCell ref="F18:F19"/>
    <mergeCell ref="F20:F21"/>
    <mergeCell ref="F22:F23"/>
    <mergeCell ref="F24:F25"/>
    <mergeCell ref="F26:F27"/>
    <mergeCell ref="F28:F29"/>
    <mergeCell ref="G4:G5"/>
    <mergeCell ref="G6:G7"/>
    <mergeCell ref="G8:G9"/>
    <mergeCell ref="G10:G11"/>
    <mergeCell ref="G12:G13"/>
    <mergeCell ref="G14:G15"/>
    <mergeCell ref="G16:G17"/>
    <mergeCell ref="G18:G19"/>
    <mergeCell ref="G20:G21"/>
    <mergeCell ref="G22:G23"/>
    <mergeCell ref="G24:G25"/>
    <mergeCell ref="G26:G27"/>
    <mergeCell ref="G28:G29"/>
    <mergeCell ref="L4:L5"/>
    <mergeCell ref="L6:L7"/>
    <mergeCell ref="L8:L9"/>
    <mergeCell ref="L10:L11"/>
    <mergeCell ref="L12:L13"/>
    <mergeCell ref="L14:L15"/>
    <mergeCell ref="L16:L17"/>
    <mergeCell ref="L18:L19"/>
    <mergeCell ref="L20:L21"/>
    <mergeCell ref="L22:L23"/>
    <mergeCell ref="L24:L25"/>
    <mergeCell ref="L26:L27"/>
    <mergeCell ref="L28:L29"/>
    <mergeCell ref="M4:M5"/>
    <mergeCell ref="M6:M7"/>
    <mergeCell ref="M8:M9"/>
    <mergeCell ref="M10:M11"/>
    <mergeCell ref="M12:M13"/>
    <mergeCell ref="M14:M15"/>
    <mergeCell ref="M16:M17"/>
    <mergeCell ref="M18:M19"/>
    <mergeCell ref="M20:M21"/>
    <mergeCell ref="M22:M23"/>
    <mergeCell ref="M24:M25"/>
    <mergeCell ref="M26:M27"/>
    <mergeCell ref="M28:M29"/>
    <mergeCell ref="N4:N5"/>
    <mergeCell ref="N6:N7"/>
    <mergeCell ref="N8:N9"/>
    <mergeCell ref="N10:N11"/>
    <mergeCell ref="N12:N13"/>
    <mergeCell ref="N14:N15"/>
    <mergeCell ref="N16:N17"/>
    <mergeCell ref="N18:N19"/>
    <mergeCell ref="N20:N21"/>
    <mergeCell ref="N22:N23"/>
    <mergeCell ref="N24:N25"/>
    <mergeCell ref="N26:N27"/>
    <mergeCell ref="N28:N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O22:O23"/>
    <mergeCell ref="O24:O25"/>
    <mergeCell ref="O26:O27"/>
    <mergeCell ref="O28:O29"/>
    <mergeCell ref="P4:P5"/>
    <mergeCell ref="P6:P7"/>
    <mergeCell ref="P8:P9"/>
    <mergeCell ref="P10:P11"/>
    <mergeCell ref="P12:P13"/>
    <mergeCell ref="P14:P15"/>
    <mergeCell ref="P16:P17"/>
    <mergeCell ref="P18:P19"/>
    <mergeCell ref="P20:P21"/>
    <mergeCell ref="P22:P23"/>
    <mergeCell ref="P24:P25"/>
    <mergeCell ref="P26:P27"/>
    <mergeCell ref="P28:P29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S10:S11"/>
    <mergeCell ref="S12:S13"/>
    <mergeCell ref="S14:S15"/>
    <mergeCell ref="S16:S17"/>
    <mergeCell ref="S18:S19"/>
    <mergeCell ref="S20:S21"/>
    <mergeCell ref="S22:S23"/>
    <mergeCell ref="S24:S25"/>
    <mergeCell ref="S26:S27"/>
    <mergeCell ref="S28:S29"/>
    <mergeCell ref="T10:T11"/>
    <mergeCell ref="T12:T13"/>
    <mergeCell ref="T14:T15"/>
    <mergeCell ref="T16:T17"/>
    <mergeCell ref="T18:T19"/>
    <mergeCell ref="T20:T21"/>
    <mergeCell ref="T22:T23"/>
    <mergeCell ref="T24:T25"/>
    <mergeCell ref="T26:T27"/>
    <mergeCell ref="T28:T29"/>
    <mergeCell ref="U26:W27"/>
    <mergeCell ref="U24:W25"/>
    <mergeCell ref="H26:K27"/>
    <mergeCell ref="H24:K25"/>
    <mergeCell ref="U22:W23"/>
    <mergeCell ref="H22:K23"/>
    <mergeCell ref="U20:W21"/>
    <mergeCell ref="U18:W19"/>
    <mergeCell ref="H20:K21"/>
    <mergeCell ref="H18:K19"/>
    <mergeCell ref="U16:W17"/>
    <mergeCell ref="U14:W15"/>
    <mergeCell ref="B16:D17"/>
    <mergeCell ref="H16:K17"/>
    <mergeCell ref="H14:K15"/>
    <mergeCell ref="U12:W13"/>
    <mergeCell ref="U10:W11"/>
    <mergeCell ref="H12:K13"/>
    <mergeCell ref="H10:K11"/>
    <mergeCell ref="H6:K7"/>
    <mergeCell ref="H8:K9"/>
    <mergeCell ref="H4:K5"/>
    <mergeCell ref="C3:D4"/>
    <mergeCell ref="S3:T4"/>
    <mergeCell ref="U3:W4"/>
    <mergeCell ref="U28:W29"/>
    <mergeCell ref="H28:K29"/>
    <mergeCell ref="B18:D19"/>
    <mergeCell ref="S7:W8"/>
    <mergeCell ref="S5:T6"/>
    <mergeCell ref="U5:W6"/>
    <mergeCell ref="A1:D2"/>
    <mergeCell ref="F1:Q2"/>
    <mergeCell ref="S1:W2"/>
  </mergeCells>
  <dataValidations count="1">
    <dataValidation type="list" allowBlank="1" showInputMessage="1" showErrorMessage="1" sqref="B3:B4 G4:G29">
      <formula1>$A$54:$A$57</formula1>
    </dataValidation>
  </dataValidations>
  <pageMargins left="0.7" right="0.7" top="0.75" bottom="0.75" header="0.3" footer="0.3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U19"/>
  <sheetViews>
    <sheetView workbookViewId="0">
      <selection activeCell="M4" sqref="M4:Q5"/>
    </sheetView>
  </sheetViews>
  <sheetFormatPr defaultColWidth="9.75" defaultRowHeight="20.45" customHeight="1"/>
  <cols>
    <col min="1" max="16384" width="9.75" style="1"/>
  </cols>
  <sheetData>
    <row r="1" customHeight="1" spans="1:21">
      <c r="A1" s="44" t="s">
        <v>337</v>
      </c>
      <c r="B1" s="44"/>
      <c r="C1" s="44"/>
      <c r="D1" s="44"/>
      <c r="F1" s="45" t="s">
        <v>338</v>
      </c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55"/>
      <c r="S1" s="55"/>
      <c r="T1" s="55"/>
      <c r="U1" s="55"/>
    </row>
    <row r="2" customHeight="1" spans="1:21">
      <c r="A2" s="46" t="s">
        <v>339</v>
      </c>
      <c r="B2" s="47" t="s">
        <v>340</v>
      </c>
      <c r="C2" s="47"/>
      <c r="D2" s="47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55"/>
      <c r="S2" s="55"/>
      <c r="T2" s="55"/>
      <c r="U2" s="55"/>
    </row>
    <row r="3" customHeight="1" spans="1:21">
      <c r="A3" s="46" t="s">
        <v>341</v>
      </c>
      <c r="B3" s="47">
        <v>7</v>
      </c>
      <c r="C3" s="47" t="s">
        <v>342</v>
      </c>
      <c r="D3" s="47" t="s">
        <v>343</v>
      </c>
      <c r="F3" s="49" t="s">
        <v>344</v>
      </c>
      <c r="G3" s="49" t="s">
        <v>345</v>
      </c>
      <c r="H3" s="49" t="s">
        <v>98</v>
      </c>
      <c r="I3" s="49"/>
      <c r="J3" s="49"/>
      <c r="K3" s="49"/>
      <c r="L3" s="49"/>
      <c r="M3" s="49" t="s">
        <v>106</v>
      </c>
      <c r="N3" s="49"/>
      <c r="O3" s="49"/>
      <c r="P3" s="49"/>
      <c r="Q3" s="49"/>
      <c r="R3" s="55"/>
      <c r="S3" s="55"/>
      <c r="T3" s="55"/>
      <c r="U3" s="55"/>
    </row>
    <row r="4" customHeight="1" spans="1:21">
      <c r="A4" s="46" t="s">
        <v>346</v>
      </c>
      <c r="B4" s="47" t="s">
        <v>347</v>
      </c>
      <c r="C4" s="47"/>
      <c r="D4" s="47"/>
      <c r="F4" s="50" t="s">
        <v>94</v>
      </c>
      <c r="G4" s="50">
        <v>2</v>
      </c>
      <c r="H4" s="50" t="s">
        <v>348</v>
      </c>
      <c r="I4" s="50"/>
      <c r="J4" s="50"/>
      <c r="K4" s="50"/>
      <c r="L4" s="50"/>
      <c r="M4" s="50" t="s">
        <v>349</v>
      </c>
      <c r="N4" s="50"/>
      <c r="O4" s="50"/>
      <c r="P4" s="50"/>
      <c r="Q4" s="50"/>
      <c r="R4" s="55"/>
      <c r="S4" s="55"/>
      <c r="T4" s="55"/>
      <c r="U4" s="55"/>
    </row>
    <row r="5" customHeight="1" spans="1:21">
      <c r="A5" s="51" t="s">
        <v>342</v>
      </c>
      <c r="B5" s="47" t="s">
        <v>343</v>
      </c>
      <c r="C5" s="47"/>
      <c r="D5" s="47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5"/>
      <c r="S5" s="55"/>
      <c r="T5" s="55"/>
      <c r="U5" s="55"/>
    </row>
    <row r="6" customHeight="1" spans="1:21">
      <c r="A6" s="53" t="s">
        <v>350</v>
      </c>
      <c r="B6" s="54" t="s">
        <v>351</v>
      </c>
      <c r="C6" s="54"/>
      <c r="D6" s="54"/>
      <c r="F6" s="50" t="s">
        <v>352</v>
      </c>
      <c r="G6" s="50">
        <v>5</v>
      </c>
      <c r="H6" s="50" t="s">
        <v>353</v>
      </c>
      <c r="I6" s="50"/>
      <c r="J6" s="50"/>
      <c r="K6" s="50"/>
      <c r="L6" s="50"/>
      <c r="M6" s="50" t="s">
        <v>354</v>
      </c>
      <c r="N6" s="50"/>
      <c r="O6" s="50"/>
      <c r="P6" s="50"/>
      <c r="Q6" s="50"/>
      <c r="R6" s="55"/>
      <c r="S6" s="55"/>
      <c r="T6" s="55"/>
      <c r="U6" s="55"/>
    </row>
    <row r="7" customHeight="1" spans="1:21">
      <c r="A7" s="46"/>
      <c r="B7" s="47"/>
      <c r="C7" s="47"/>
      <c r="D7" s="47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5"/>
      <c r="S7" s="55"/>
      <c r="T7" s="55"/>
      <c r="U7" s="55"/>
    </row>
    <row r="8" customHeight="1" spans="6:21">
      <c r="F8" s="50" t="s">
        <v>355</v>
      </c>
      <c r="G8" s="50">
        <v>5</v>
      </c>
      <c r="H8" s="50" t="s">
        <v>356</v>
      </c>
      <c r="I8" s="50"/>
      <c r="J8" s="50"/>
      <c r="K8" s="50"/>
      <c r="L8" s="50"/>
      <c r="M8" s="50" t="s">
        <v>357</v>
      </c>
      <c r="N8" s="50"/>
      <c r="O8" s="50"/>
      <c r="P8" s="50"/>
      <c r="Q8" s="50"/>
      <c r="R8" s="55"/>
      <c r="S8" s="55"/>
      <c r="T8" s="55"/>
      <c r="U8" s="55"/>
    </row>
    <row r="9" customHeight="1" spans="6:21"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5"/>
      <c r="S9" s="55"/>
      <c r="T9" s="55"/>
      <c r="U9" s="55"/>
    </row>
    <row r="10" customHeight="1" spans="6:21"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5"/>
      <c r="S10" s="55"/>
      <c r="T10" s="55"/>
      <c r="U10" s="55"/>
    </row>
    <row r="11" customHeight="1" spans="6:21"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5"/>
      <c r="S11" s="55"/>
      <c r="T11" s="55"/>
      <c r="U11" s="55"/>
    </row>
    <row r="12" customHeight="1" spans="6:21"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5"/>
      <c r="S12" s="55"/>
      <c r="T12" s="55"/>
      <c r="U12" s="55"/>
    </row>
    <row r="13" customHeight="1" spans="6:21"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5"/>
      <c r="S13" s="55"/>
      <c r="T13" s="55"/>
      <c r="U13" s="55"/>
    </row>
    <row r="14" customHeight="1" spans="6:21"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5"/>
      <c r="S14" s="55"/>
      <c r="T14" s="55"/>
      <c r="U14" s="55"/>
    </row>
    <row r="15" customHeight="1" spans="6:21"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5"/>
      <c r="S15" s="55"/>
      <c r="T15" s="55"/>
      <c r="U15" s="55"/>
    </row>
    <row r="16" customHeight="1" spans="6:21"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5"/>
      <c r="S16" s="55"/>
      <c r="T16" s="55"/>
      <c r="U16" s="55"/>
    </row>
    <row r="17" customHeight="1" spans="6:21"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5"/>
      <c r="S17" s="55"/>
      <c r="T17" s="55"/>
      <c r="U17" s="55"/>
    </row>
    <row r="18" customHeight="1" spans="6:17"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</row>
    <row r="19" customHeight="1" spans="6:17"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</row>
  </sheetData>
  <protectedRanges>
    <protectedRange sqref="B12 D3 B2:B8" name="角色基础信息区域"/>
  </protectedRanges>
  <mergeCells count="42">
    <mergeCell ref="A1:D1"/>
    <mergeCell ref="B2:D2"/>
    <mergeCell ref="B3:D3"/>
    <mergeCell ref="H3:L3"/>
    <mergeCell ref="M3:Q3"/>
    <mergeCell ref="B4:D4"/>
    <mergeCell ref="B5:D5"/>
    <mergeCell ref="A6:A7"/>
    <mergeCell ref="F4:F5"/>
    <mergeCell ref="F6:F7"/>
    <mergeCell ref="F8:F9"/>
    <mergeCell ref="F10:F11"/>
    <mergeCell ref="F12:F13"/>
    <mergeCell ref="F14:F15"/>
    <mergeCell ref="F16:F17"/>
    <mergeCell ref="F18:F19"/>
    <mergeCell ref="G4:G5"/>
    <mergeCell ref="G6:G7"/>
    <mergeCell ref="G8:G9"/>
    <mergeCell ref="G10:G11"/>
    <mergeCell ref="G12:G13"/>
    <mergeCell ref="G14:G15"/>
    <mergeCell ref="G16:G17"/>
    <mergeCell ref="G18:G19"/>
    <mergeCell ref="F1:Q2"/>
    <mergeCell ref="H4:L5"/>
    <mergeCell ref="M4:Q5"/>
    <mergeCell ref="B6:D7"/>
    <mergeCell ref="H8:L9"/>
    <mergeCell ref="M8:Q9"/>
    <mergeCell ref="H10:L11"/>
    <mergeCell ref="M10:Q11"/>
    <mergeCell ref="H12:L13"/>
    <mergeCell ref="M12:Q13"/>
    <mergeCell ref="H6:L7"/>
    <mergeCell ref="M6:Q7"/>
    <mergeCell ref="H14:L15"/>
    <mergeCell ref="M14:Q15"/>
    <mergeCell ref="H16:L17"/>
    <mergeCell ref="M16:Q17"/>
    <mergeCell ref="H18:L19"/>
    <mergeCell ref="M18:Q19"/>
  </mergeCells>
  <pageMargins left="0.7" right="0.7" top="0.75" bottom="0.75" header="0.3" footer="0.3"/>
  <pageSetup paperSize="9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W22"/>
  <sheetViews>
    <sheetView workbookViewId="0">
      <selection activeCell="M18" sqref="M18"/>
    </sheetView>
  </sheetViews>
  <sheetFormatPr defaultColWidth="9" defaultRowHeight="13.8"/>
  <cols>
    <col min="1" max="16384" width="9" style="1"/>
  </cols>
  <sheetData>
    <row r="1" ht="20.4" customHeight="1" spans="1:19">
      <c r="A1" s="2" t="s">
        <v>358</v>
      </c>
      <c r="B1" s="3"/>
      <c r="C1" s="3"/>
      <c r="D1" s="3"/>
      <c r="E1" s="3"/>
      <c r="F1" s="3"/>
      <c r="G1" s="3"/>
      <c r="H1" s="3"/>
      <c r="I1" s="25"/>
      <c r="K1" s="2" t="s">
        <v>359</v>
      </c>
      <c r="L1" s="3"/>
      <c r="M1" s="3"/>
      <c r="N1" s="3"/>
      <c r="O1" s="3"/>
      <c r="P1" s="3"/>
      <c r="Q1" s="3"/>
      <c r="R1" s="3"/>
      <c r="S1" s="25"/>
    </row>
    <row r="2" ht="20.4" customHeight="1" spans="1:19">
      <c r="A2" s="4"/>
      <c r="B2" s="5"/>
      <c r="C2" s="5"/>
      <c r="D2" s="5"/>
      <c r="E2" s="5"/>
      <c r="F2" s="5"/>
      <c r="G2" s="5"/>
      <c r="H2" s="5"/>
      <c r="I2" s="26"/>
      <c r="K2" s="4"/>
      <c r="L2" s="5"/>
      <c r="M2" s="5"/>
      <c r="N2" s="5"/>
      <c r="O2" s="5"/>
      <c r="P2" s="5"/>
      <c r="Q2" s="5"/>
      <c r="R2" s="5"/>
      <c r="S2" s="26"/>
    </row>
    <row r="3" ht="20.4" customHeight="1" spans="1:19">
      <c r="A3" s="6" t="s">
        <v>160</v>
      </c>
      <c r="B3" s="7">
        <v>1</v>
      </c>
      <c r="C3" s="7"/>
      <c r="D3" s="6" t="s">
        <v>161</v>
      </c>
      <c r="E3" s="7" t="s">
        <v>360</v>
      </c>
      <c r="F3" s="7"/>
      <c r="G3" s="6" t="s">
        <v>162</v>
      </c>
      <c r="H3" s="7" t="s">
        <v>361</v>
      </c>
      <c r="I3" s="7"/>
      <c r="K3" s="27" t="s">
        <v>161</v>
      </c>
      <c r="L3" s="28"/>
      <c r="M3" s="6" t="s">
        <v>160</v>
      </c>
      <c r="N3" s="6" t="s">
        <v>191</v>
      </c>
      <c r="O3" s="6" t="s">
        <v>88</v>
      </c>
      <c r="P3" s="6" t="s">
        <v>192</v>
      </c>
      <c r="Q3" s="6" t="s">
        <v>362</v>
      </c>
      <c r="R3" s="6" t="s">
        <v>363</v>
      </c>
      <c r="S3" s="6" t="s">
        <v>364</v>
      </c>
    </row>
    <row r="4" ht="20.4" customHeight="1" spans="1:19">
      <c r="A4" s="6" t="s">
        <v>117</v>
      </c>
      <c r="B4" s="7">
        <v>20</v>
      </c>
      <c r="C4" s="7"/>
      <c r="D4" s="6" t="s">
        <v>365</v>
      </c>
      <c r="E4" s="7">
        <v>25</v>
      </c>
      <c r="F4" s="7">
        <f>E4+R4</f>
        <v>25</v>
      </c>
      <c r="G4" s="6" t="s">
        <v>166</v>
      </c>
      <c r="H4" s="7" t="s">
        <v>366</v>
      </c>
      <c r="I4" s="7"/>
      <c r="K4" s="29" t="s">
        <v>367</v>
      </c>
      <c r="L4" s="30"/>
      <c r="M4" s="7">
        <v>1</v>
      </c>
      <c r="N4" s="7">
        <v>2</v>
      </c>
      <c r="O4" s="31">
        <v>0.3</v>
      </c>
      <c r="P4" s="7">
        <v>8</v>
      </c>
      <c r="Q4" s="7">
        <v>20</v>
      </c>
      <c r="R4" s="7">
        <v>0</v>
      </c>
      <c r="S4" s="7">
        <v>0</v>
      </c>
    </row>
    <row r="5" ht="20.4" customHeight="1" spans="1:19">
      <c r="A5" s="6" t="s">
        <v>368</v>
      </c>
      <c r="B5" s="7">
        <v>8</v>
      </c>
      <c r="C5" s="7">
        <f>B5+S4</f>
        <v>8</v>
      </c>
      <c r="D5" s="6" t="s">
        <v>369</v>
      </c>
      <c r="E5" s="8">
        <f>E4/10</f>
        <v>2.5</v>
      </c>
      <c r="F5" s="8"/>
      <c r="G5" s="6" t="s">
        <v>190</v>
      </c>
      <c r="H5" s="7">
        <f>ROUNDDOWN((17/144)*POWER(((F4-Q4)/5-12),2)+3,0)</f>
        <v>17</v>
      </c>
      <c r="I5" s="7"/>
      <c r="K5" s="10" t="s">
        <v>370</v>
      </c>
      <c r="L5" s="10"/>
      <c r="M5" s="11" t="s">
        <v>195</v>
      </c>
      <c r="N5" s="12"/>
      <c r="O5" s="12"/>
      <c r="P5" s="12"/>
      <c r="Q5" s="12"/>
      <c r="R5" s="12"/>
      <c r="S5" s="36"/>
    </row>
    <row r="6" ht="20.4" customHeight="1" spans="1:19">
      <c r="A6" s="6" t="s">
        <v>370</v>
      </c>
      <c r="B6" s="9" t="s">
        <v>195</v>
      </c>
      <c r="C6" s="9"/>
      <c r="D6" s="9"/>
      <c r="E6" s="9"/>
      <c r="F6" s="9"/>
      <c r="G6" s="9"/>
      <c r="H6" s="9"/>
      <c r="I6" s="9"/>
      <c r="K6" s="16"/>
      <c r="L6" s="16"/>
      <c r="M6" s="17"/>
      <c r="N6" s="18"/>
      <c r="O6" s="18"/>
      <c r="P6" s="18"/>
      <c r="Q6" s="18"/>
      <c r="R6" s="18"/>
      <c r="S6" s="42"/>
    </row>
    <row r="7" ht="20.4" customHeight="1" spans="1:19">
      <c r="A7" s="6"/>
      <c r="B7" s="9"/>
      <c r="C7" s="9"/>
      <c r="D7" s="9"/>
      <c r="E7" s="9"/>
      <c r="F7" s="9"/>
      <c r="G7" s="9"/>
      <c r="H7" s="9"/>
      <c r="I7" s="9"/>
      <c r="K7" s="32" t="s">
        <v>371</v>
      </c>
      <c r="L7" s="33"/>
      <c r="M7" s="11" t="s">
        <v>372</v>
      </c>
      <c r="N7" s="12"/>
      <c r="O7" s="12"/>
      <c r="P7" s="12"/>
      <c r="Q7" s="12"/>
      <c r="R7" s="12"/>
      <c r="S7" s="36"/>
    </row>
    <row r="8" ht="20.4" customHeight="1" spans="1:19">
      <c r="A8" s="6" t="s">
        <v>180</v>
      </c>
      <c r="B8" s="9" t="s">
        <v>373</v>
      </c>
      <c r="C8" s="9"/>
      <c r="D8" s="9"/>
      <c r="E8" s="9"/>
      <c r="F8" s="9"/>
      <c r="G8" s="9"/>
      <c r="H8" s="9"/>
      <c r="I8" s="9"/>
      <c r="K8" s="34"/>
      <c r="L8" s="35"/>
      <c r="M8" s="14"/>
      <c r="N8" s="15"/>
      <c r="O8" s="15"/>
      <c r="P8" s="15"/>
      <c r="Q8" s="15"/>
      <c r="R8" s="15"/>
      <c r="S8" s="39"/>
    </row>
    <row r="9" ht="20.4" customHeight="1" spans="1:19">
      <c r="A9" s="6"/>
      <c r="B9" s="9"/>
      <c r="C9" s="9"/>
      <c r="D9" s="9"/>
      <c r="E9" s="9"/>
      <c r="F9" s="9"/>
      <c r="G9" s="9"/>
      <c r="H9" s="9"/>
      <c r="I9" s="9"/>
      <c r="K9" s="34"/>
      <c r="L9" s="35"/>
      <c r="M9" s="14"/>
      <c r="N9" s="15"/>
      <c r="O9" s="15"/>
      <c r="P9" s="15"/>
      <c r="Q9" s="15"/>
      <c r="R9" s="15"/>
      <c r="S9" s="39"/>
    </row>
    <row r="10" ht="20.4" customHeight="1" spans="1:19">
      <c r="A10" s="10" t="s">
        <v>371</v>
      </c>
      <c r="B10" s="11" t="s">
        <v>374</v>
      </c>
      <c r="C10" s="12"/>
      <c r="D10" s="12"/>
      <c r="E10" s="12"/>
      <c r="F10" s="12"/>
      <c r="G10" s="12"/>
      <c r="H10" s="12"/>
      <c r="I10" s="36"/>
      <c r="K10" s="37"/>
      <c r="L10" s="38"/>
      <c r="M10" s="17"/>
      <c r="N10" s="18"/>
      <c r="O10" s="18"/>
      <c r="P10" s="18"/>
      <c r="Q10" s="18"/>
      <c r="R10" s="18"/>
      <c r="S10" s="42"/>
    </row>
    <row r="11" ht="20.4" customHeight="1" spans="1:19">
      <c r="A11" s="13"/>
      <c r="B11" s="14"/>
      <c r="C11" s="15"/>
      <c r="D11" s="15"/>
      <c r="E11" s="15"/>
      <c r="F11" s="15"/>
      <c r="G11" s="15"/>
      <c r="H11" s="15"/>
      <c r="I11" s="39"/>
      <c r="K11" s="40" t="s">
        <v>375</v>
      </c>
      <c r="L11" s="41"/>
      <c r="M11" s="41"/>
      <c r="N11" s="41"/>
      <c r="O11" s="41"/>
      <c r="P11" s="20"/>
      <c r="Q11" s="20"/>
      <c r="R11" s="20"/>
      <c r="S11" s="20"/>
    </row>
    <row r="12" ht="20.4" customHeight="1" spans="1:19">
      <c r="A12" s="13"/>
      <c r="B12" s="14"/>
      <c r="C12" s="15"/>
      <c r="D12" s="15"/>
      <c r="E12" s="15"/>
      <c r="F12" s="15"/>
      <c r="G12" s="15"/>
      <c r="H12" s="15"/>
      <c r="I12" s="39"/>
      <c r="K12" s="21" t="s">
        <v>17</v>
      </c>
      <c r="L12" s="21"/>
      <c r="M12" s="21"/>
      <c r="N12" s="21" t="s">
        <v>18</v>
      </c>
      <c r="O12" s="21"/>
      <c r="P12" s="21"/>
      <c r="Q12" s="21" t="s">
        <v>19</v>
      </c>
      <c r="R12" s="21"/>
      <c r="S12" s="21"/>
    </row>
    <row r="13" ht="20.4" customHeight="1" spans="1:19">
      <c r="A13" s="16"/>
      <c r="B13" s="17"/>
      <c r="C13" s="18"/>
      <c r="D13" s="18"/>
      <c r="E13" s="18"/>
      <c r="F13" s="18"/>
      <c r="G13" s="18"/>
      <c r="H13" s="18"/>
      <c r="I13" s="42"/>
      <c r="K13" s="22">
        <v>8</v>
      </c>
      <c r="L13" s="22" t="s">
        <v>23</v>
      </c>
      <c r="M13" s="22">
        <f>P4</f>
        <v>8</v>
      </c>
      <c r="N13" s="22">
        <v>0</v>
      </c>
      <c r="O13" s="22" t="s">
        <v>23</v>
      </c>
      <c r="P13" s="22">
        <v>0</v>
      </c>
      <c r="Q13" s="22">
        <f>K13+N13</f>
        <v>8</v>
      </c>
      <c r="R13" s="22" t="s">
        <v>23</v>
      </c>
      <c r="S13" s="22">
        <f>M13+P13</f>
        <v>8</v>
      </c>
    </row>
    <row r="14" ht="20.4" customHeight="1" spans="1:23">
      <c r="A14" s="19" t="s">
        <v>376</v>
      </c>
      <c r="B14" s="19"/>
      <c r="C14" s="19"/>
      <c r="D14" s="19"/>
      <c r="E14" s="19"/>
      <c r="F14" s="20"/>
      <c r="G14" s="20"/>
      <c r="H14" s="20"/>
      <c r="I14" s="20"/>
      <c r="W14" s="43"/>
    </row>
    <row r="15" ht="20.4" customHeight="1" spans="1:9">
      <c r="A15" s="21" t="s">
        <v>17</v>
      </c>
      <c r="B15" s="21"/>
      <c r="C15" s="21"/>
      <c r="D15" s="21" t="s">
        <v>18</v>
      </c>
      <c r="E15" s="21"/>
      <c r="F15" s="21"/>
      <c r="G15" s="21" t="s">
        <v>19</v>
      </c>
      <c r="H15" s="21"/>
      <c r="I15" s="21"/>
    </row>
    <row r="16" ht="20.4" customHeight="1" spans="1:9">
      <c r="A16" s="22">
        <v>20</v>
      </c>
      <c r="B16" s="22" t="s">
        <v>23</v>
      </c>
      <c r="C16" s="22">
        <f>B4</f>
        <v>20</v>
      </c>
      <c r="D16" s="22">
        <v>0</v>
      </c>
      <c r="E16" s="22" t="s">
        <v>23</v>
      </c>
      <c r="F16" s="22">
        <v>0</v>
      </c>
      <c r="G16" s="22">
        <f>A16+D16</f>
        <v>20</v>
      </c>
      <c r="H16" s="22" t="s">
        <v>23</v>
      </c>
      <c r="I16" s="22">
        <f>C16+F16</f>
        <v>20</v>
      </c>
    </row>
    <row r="17" ht="20.4" customHeight="1" spans="1:9">
      <c r="A17" s="23" t="s">
        <v>377</v>
      </c>
      <c r="B17" s="24"/>
      <c r="C17" s="24"/>
      <c r="D17" s="24"/>
      <c r="E17" s="24"/>
      <c r="F17" s="20"/>
      <c r="G17" s="20"/>
      <c r="H17" s="20"/>
      <c r="I17" s="20"/>
    </row>
    <row r="18" ht="20.4" customHeight="1" spans="1:9">
      <c r="A18" s="21" t="s">
        <v>378</v>
      </c>
      <c r="B18" s="21"/>
      <c r="C18" s="21"/>
      <c r="D18" s="21" t="s">
        <v>379</v>
      </c>
      <c r="E18" s="21"/>
      <c r="F18" s="21"/>
      <c r="G18" s="21" t="s">
        <v>19</v>
      </c>
      <c r="H18" s="21"/>
      <c r="I18" s="21"/>
    </row>
    <row r="19" ht="20.4" customHeight="1" spans="1:9">
      <c r="A19" s="22">
        <v>6</v>
      </c>
      <c r="B19" s="22" t="s">
        <v>23</v>
      </c>
      <c r="C19" s="22">
        <v>6</v>
      </c>
      <c r="D19" s="22">
        <v>8</v>
      </c>
      <c r="E19" s="22" t="s">
        <v>23</v>
      </c>
      <c r="F19" s="22">
        <f>C5</f>
        <v>8</v>
      </c>
      <c r="G19" s="22">
        <f>A19+D19</f>
        <v>14</v>
      </c>
      <c r="H19" s="22" t="s">
        <v>23</v>
      </c>
      <c r="I19" s="22">
        <f>C19+F19</f>
        <v>14</v>
      </c>
    </row>
    <row r="20" ht="20.4" customHeight="1"/>
    <row r="21" ht="20.4" customHeight="1"/>
    <row r="22" ht="20.4" customHeight="1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B3:C3"/>
    <mergeCell ref="E3:F3"/>
    <mergeCell ref="H3:I3"/>
    <mergeCell ref="K3:L3"/>
    <mergeCell ref="B4:C4"/>
    <mergeCell ref="H4:I4"/>
    <mergeCell ref="K4:L4"/>
    <mergeCell ref="E5:F5"/>
    <mergeCell ref="H5:I5"/>
    <mergeCell ref="K11:O11"/>
    <mergeCell ref="P11:S11"/>
    <mergeCell ref="K12:M12"/>
    <mergeCell ref="N12:P12"/>
    <mergeCell ref="Q12:S12"/>
    <mergeCell ref="A14:E14"/>
    <mergeCell ref="F14:I14"/>
    <mergeCell ref="A15:C15"/>
    <mergeCell ref="D15:F15"/>
    <mergeCell ref="G15:I15"/>
    <mergeCell ref="A17:E17"/>
    <mergeCell ref="F17:I17"/>
    <mergeCell ref="A18:C18"/>
    <mergeCell ref="D18:F18"/>
    <mergeCell ref="G18:I18"/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24477</cp:lastModifiedBy>
  <dcterms:created xsi:type="dcterms:W3CDTF">2015-06-05T18:19:00Z</dcterms:created>
  <dcterms:modified xsi:type="dcterms:W3CDTF">2024-04-12T14:14:38Z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