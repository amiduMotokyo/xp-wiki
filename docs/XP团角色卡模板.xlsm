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1E299260-2B38-437C-86E8-DB0992B6848F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4" r:id="rId12"/>
  </sheets>
  <definedNames>
    <definedName name="_xlnm._FilterDatabase" localSheetId="1" hidden="1">总表!$A$29:$B$34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" i="23" l="1"/>
  <c r="O24" i="23"/>
  <c r="B23" i="23"/>
  <c r="U1" i="23" s="1"/>
  <c r="O22" i="23"/>
  <c r="O20" i="23"/>
  <c r="O18" i="23"/>
  <c r="B18" i="23"/>
  <c r="C18" i="23" s="1"/>
  <c r="O16" i="23"/>
  <c r="O14" i="23"/>
  <c r="O12" i="23"/>
  <c r="O10" i="23"/>
  <c r="B9" i="23"/>
  <c r="D9" i="23" s="1"/>
  <c r="O8" i="23"/>
  <c r="O6" i="23"/>
  <c r="O4" i="23"/>
  <c r="B4" i="23"/>
  <c r="C4" i="23" s="1"/>
  <c r="O2" i="23"/>
  <c r="U34" i="5"/>
  <c r="U33" i="5"/>
  <c r="I13" i="18"/>
  <c r="I15" i="18" s="1"/>
  <c r="I17" i="18" s="1"/>
  <c r="I19" i="18" s="1"/>
  <c r="I21" i="18" s="1"/>
  <c r="I23" i="18" s="1"/>
  <c r="I25" i="18" s="1"/>
  <c r="I27" i="18" s="1"/>
  <c r="I29" i="18" s="1"/>
  <c r="I11" i="18"/>
  <c r="J5" i="18"/>
  <c r="E3" i="18"/>
  <c r="K26" i="22"/>
  <c r="K24" i="22"/>
  <c r="K22" i="22"/>
  <c r="K20" i="22"/>
  <c r="K18" i="22"/>
  <c r="K16" i="22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F7" i="5"/>
  <c r="U7" i="5"/>
  <c r="J7" i="5"/>
  <c r="AF6" i="5"/>
  <c r="U6" i="5"/>
  <c r="J6" i="5"/>
  <c r="AF5" i="5"/>
  <c r="U5" i="5"/>
  <c r="J5" i="5"/>
  <c r="AF4" i="5"/>
  <c r="B21" i="1"/>
  <c r="K18" i="1" a="1"/>
  <c r="N14" i="1"/>
  <c r="H13" i="1" a="1"/>
  <c r="K22" i="1" a="1"/>
  <c r="K17" i="1" a="1"/>
  <c r="H18" i="1" a="1"/>
  <c r="G19" i="1" a="1"/>
  <c r="H20" i="1" a="1"/>
  <c r="H17" i="1" a="1"/>
  <c r="H7" i="1" a="1"/>
  <c r="G20" i="1" a="1"/>
  <c r="H19" i="1" a="1"/>
  <c r="H3" i="1" a="1"/>
  <c r="H5" i="1" a="1"/>
  <c r="H9" i="1" a="1"/>
  <c r="H11" i="1" a="1"/>
  <c r="U12" i="1" a="1"/>
  <c r="G22" i="1" a="1"/>
  <c r="B18" i="1"/>
  <c r="C26" i="1" a="1"/>
  <c r="K19" i="1" a="1"/>
  <c r="G17" i="1" a="1"/>
  <c r="H22" i="1" a="1"/>
  <c r="G18" i="1" a="1"/>
  <c r="K20" i="1" a="1"/>
  <c r="C36" i="1" l="1"/>
  <c r="D4" i="23"/>
  <c r="C23" i="23"/>
  <c r="D23" i="23"/>
  <c r="B16" i="23"/>
  <c r="D18" i="23"/>
  <c r="C9" i="23"/>
  <c r="D5" i="18"/>
  <c r="H3" i="1"/>
  <c r="U12" i="1"/>
  <c r="H17" i="1"/>
  <c r="K22" i="1"/>
  <c r="K20" i="1"/>
  <c r="K19" i="1"/>
  <c r="K18" i="1"/>
  <c r="K17" i="1"/>
  <c r="H22" i="1"/>
  <c r="H20" i="1"/>
  <c r="H19" i="1"/>
  <c r="H18" i="1"/>
  <c r="G22" i="1"/>
  <c r="G20" i="1"/>
  <c r="G19" i="1"/>
  <c r="G18" i="1"/>
  <c r="G17" i="1"/>
  <c r="H13" i="1"/>
  <c r="H11" i="1"/>
  <c r="H9" i="1"/>
  <c r="H7" i="1"/>
  <c r="H5" i="1"/>
  <c r="C26" i="1"/>
  <c r="K3" i="1" l="1"/>
  <c r="S3" i="1"/>
  <c r="K5" i="1"/>
  <c r="B31" i="1" s="1"/>
  <c r="J12" i="4" a="1"/>
  <c r="J5" i="4" a="1"/>
  <c r="U1" i="17" a="1"/>
  <c r="U1" i="17" l="1"/>
  <c r="J12" i="4"/>
  <c r="J5" i="4"/>
  <c r="Q1" i="17" l="1"/>
  <c r="A20" i="4" l="1"/>
  <c r="A19" i="4"/>
  <c r="AH2" i="1"/>
  <c r="AF2" i="1"/>
  <c r="AD2" i="1"/>
  <c r="AB2" i="1"/>
  <c r="I9" i="18" l="1"/>
  <c r="G39" i="1" l="1"/>
  <c r="G38" i="1"/>
  <c r="G37" i="1"/>
  <c r="G36" i="1"/>
  <c r="H39" i="1"/>
  <c r="H38" i="1"/>
  <c r="H37" i="1"/>
  <c r="H36" i="1"/>
  <c r="S9" i="1" l="1"/>
  <c r="G30" i="1" s="1"/>
  <c r="S6" i="1"/>
  <c r="G31" i="1" s="1"/>
  <c r="G32" i="1"/>
  <c r="K11" i="1" l="1"/>
  <c r="B30" i="1" s="1"/>
  <c r="C27" i="5"/>
  <c r="C29" i="5"/>
  <c r="C28" i="5"/>
  <c r="G29" i="5" l="1"/>
  <c r="G27" i="5"/>
  <c r="G28" i="5"/>
  <c r="K9" i="1"/>
  <c r="B34" i="1" s="1"/>
  <c r="K7" i="1"/>
  <c r="K13" i="1"/>
  <c r="Y11" i="5"/>
  <c r="Y5" i="5"/>
  <c r="B14" i="23"/>
  <c r="Y14" i="5"/>
  <c r="Y26" i="5"/>
  <c r="Y21" i="5"/>
  <c r="Y8" i="5"/>
  <c r="Q14" i="23"/>
  <c r="Q2" i="23"/>
  <c r="Y18" i="5"/>
  <c r="Q24" i="23"/>
  <c r="Q22" i="23"/>
  <c r="O3" i="1" a="1"/>
  <c r="Y19" i="5"/>
  <c r="Q16" i="23"/>
  <c r="Y13" i="5"/>
  <c r="Q18" i="23"/>
  <c r="Y25" i="5"/>
  <c r="Y24" i="5"/>
  <c r="Y7" i="5"/>
  <c r="C23" i="5"/>
  <c r="C22" i="5"/>
  <c r="Q12" i="23"/>
  <c r="Y10" i="5"/>
  <c r="C20" i="5"/>
  <c r="Y27" i="5"/>
  <c r="Y12" i="5"/>
  <c r="Y23" i="5"/>
  <c r="C21" i="5"/>
  <c r="Y17" i="5"/>
  <c r="Q10" i="23"/>
  <c r="Q4" i="23"/>
  <c r="Y9" i="5"/>
  <c r="Y4" i="5"/>
  <c r="C25" i="5"/>
  <c r="Y22" i="5"/>
  <c r="Y20" i="5"/>
  <c r="C24" i="5"/>
  <c r="Q26" i="23"/>
  <c r="Q6" i="23"/>
  <c r="Y15" i="5"/>
  <c r="Y6" i="5"/>
  <c r="Q20" i="23"/>
  <c r="Q8" i="23"/>
  <c r="Y16" i="5"/>
  <c r="Y28" i="5"/>
  <c r="B32" i="1" l="1"/>
  <c r="G21" i="5"/>
  <c r="AC11" i="5"/>
  <c r="G23" i="5"/>
  <c r="AC24" i="5"/>
  <c r="AC18" i="5"/>
  <c r="AC12" i="5"/>
  <c r="AC6" i="5"/>
  <c r="AC15" i="5"/>
  <c r="AC20" i="5"/>
  <c r="AC14" i="5"/>
  <c r="AC8" i="5"/>
  <c r="AC4" i="5"/>
  <c r="AC17" i="5"/>
  <c r="AC28" i="5"/>
  <c r="AC22" i="5"/>
  <c r="AC16" i="5"/>
  <c r="AC10" i="5"/>
  <c r="AC5" i="5"/>
  <c r="AC9" i="5"/>
  <c r="AC26" i="5"/>
  <c r="G24" i="5"/>
  <c r="AC25" i="5"/>
  <c r="G20" i="5"/>
  <c r="AC13" i="5"/>
  <c r="AC7" i="5"/>
  <c r="G22" i="5"/>
  <c r="AC23" i="5"/>
  <c r="AC19" i="5"/>
  <c r="AC27" i="5"/>
  <c r="AC21" i="5"/>
  <c r="G25" i="5"/>
  <c r="O3" i="1"/>
  <c r="U3" i="1" s="1"/>
  <c r="H32" i="1" s="1"/>
  <c r="B33" i="1"/>
  <c r="R9" i="1"/>
  <c r="U9" i="1" s="1"/>
  <c r="H30" i="1" s="1"/>
  <c r="O6" i="1"/>
  <c r="U6" i="1" s="1"/>
  <c r="H31" i="1" s="1"/>
  <c r="B29" i="1"/>
  <c r="N6" i="5"/>
  <c r="C7" i="5"/>
  <c r="N30" i="5"/>
  <c r="N28" i="5"/>
  <c r="N33" i="5"/>
  <c r="C10" i="5"/>
  <c r="C9" i="5"/>
  <c r="N5" i="5"/>
  <c r="C5" i="5"/>
  <c r="C16" i="22"/>
  <c r="C32" i="5"/>
  <c r="C3" i="21"/>
  <c r="C22" i="22"/>
  <c r="C3" i="22"/>
  <c r="N7" i="5"/>
  <c r="N29" i="5"/>
  <c r="N16" i="5"/>
  <c r="C26" i="22"/>
  <c r="N18" i="5"/>
  <c r="N27" i="5"/>
  <c r="N24" i="5"/>
  <c r="Q17" i="1" a="1"/>
  <c r="C18" i="22"/>
  <c r="N17" i="5"/>
  <c r="N20" i="5"/>
  <c r="N32" i="5"/>
  <c r="C12" i="5"/>
  <c r="N19" i="5"/>
  <c r="T17" i="1" a="1"/>
  <c r="N11" i="5"/>
  <c r="N14" i="5"/>
  <c r="N25" i="5"/>
  <c r="N17" i="1" a="1"/>
  <c r="C31" i="5"/>
  <c r="N9" i="5"/>
  <c r="C17" i="5"/>
  <c r="C6" i="5"/>
  <c r="C13" i="5"/>
  <c r="N34" i="5"/>
  <c r="C20" i="22"/>
  <c r="C11" i="5"/>
  <c r="C18" i="5"/>
  <c r="N22" i="5"/>
  <c r="N8" i="5"/>
  <c r="N12" i="5"/>
  <c r="C16" i="5"/>
  <c r="C15" i="5"/>
  <c r="N13" i="5"/>
  <c r="N23" i="5"/>
  <c r="C24" i="22"/>
  <c r="R34" i="5" l="1"/>
  <c r="R33" i="5"/>
  <c r="G31" i="5"/>
  <c r="G32" i="5"/>
  <c r="R14" i="5"/>
  <c r="M18" i="22"/>
  <c r="M16" i="22"/>
  <c r="R27" i="5"/>
  <c r="G5" i="5"/>
  <c r="R32" i="5"/>
  <c r="R19" i="5"/>
  <c r="R24" i="5"/>
  <c r="R18" i="5"/>
  <c r="R11" i="5"/>
  <c r="R28" i="5"/>
  <c r="R22" i="5"/>
  <c r="G6" i="5"/>
  <c r="R23" i="5"/>
  <c r="R30" i="5"/>
  <c r="R25" i="5"/>
  <c r="R7" i="5"/>
  <c r="G7" i="5"/>
  <c r="R29" i="5"/>
  <c r="R17" i="5"/>
  <c r="R5" i="5"/>
  <c r="G9" i="5"/>
  <c r="G11" i="5"/>
  <c r="R12" i="5"/>
  <c r="R6" i="5"/>
  <c r="R20" i="5"/>
  <c r="R8" i="5"/>
  <c r="G13" i="5"/>
  <c r="R16" i="5"/>
  <c r="G10" i="5"/>
  <c r="G12" i="5"/>
  <c r="R13" i="5"/>
  <c r="R9" i="5"/>
  <c r="G15" i="5"/>
  <c r="G17" i="5"/>
  <c r="G16" i="5"/>
  <c r="G18" i="5"/>
  <c r="Q17" i="1"/>
  <c r="Q20" i="1" s="1"/>
  <c r="Q22" i="1" s="1"/>
  <c r="T17" i="1"/>
  <c r="T20" i="1" s="1"/>
  <c r="T22" i="1" s="1"/>
  <c r="N17" i="1"/>
  <c r="T15" i="1"/>
  <c r="Q15" i="1"/>
  <c r="C16" i="1"/>
  <c r="C15" i="1"/>
  <c r="N15" i="1"/>
  <c r="T23" i="1" l="1"/>
  <c r="Q23" i="1"/>
  <c r="N20" i="1" l="1"/>
  <c r="N22" i="1" s="1"/>
  <c r="N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5FA16B51-C7C1-490B-8976-D1C4FF9B09BE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体质+总经历点</t>
        </r>
      </text>
    </comment>
    <comment ref="M13" authorId="0" shapeId="0" xr:uid="{5B71BEE1-D43F-4913-B8C0-AFA5C1B8EFE1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1046FD24-CB00-4508-B79D-3262E2CAFB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A20F052B-26E8-41C3-8800-360B0E16763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水下时：检定值-10</t>
        </r>
      </text>
    </comment>
    <comment ref="B21" authorId="1" shapeId="0" xr:uid="{A115AF53-86A9-4DA2-BBD1-01D3D614566D}">
      <text>
        <r>
          <rPr>
            <b/>
            <sz val="9"/>
            <color indexed="81"/>
            <rFont val="宋体"/>
            <family val="3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FA33F5BB-C387-42D4-BCE0-B6B48F55386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6E8B6071-7E98-4EF0-9B48-1F412BA149A7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BC860BA8-0025-47EA-8F43-07B5D5162EC6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E3785D3E-0EEE-4EE7-A271-388C5B736C49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C2735E82-FED5-457A-A326-ADDF41D9ECDB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377F08C1-F5FC-467E-86EB-252F28727F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23" authorId="0" shapeId="0" xr:uid="{07C56D33-66A5-420F-BD10-CE7CA2A3FD79}">
      <text>
        <r>
          <rPr>
            <sz val="9"/>
            <color indexed="81"/>
            <rFont val="宋体"/>
            <family val="3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<sst xmlns="http://schemas.openxmlformats.org/spreadsheetml/2006/main" count="782" uniqueCount="371">
  <si>
    <t>角色基础信息</t>
    <phoneticPr fontId="1" type="noConversion"/>
  </si>
  <si>
    <t>姓名</t>
    <phoneticPr fontId="1" type="noConversion"/>
  </si>
  <si>
    <t>身高</t>
    <phoneticPr fontId="1" type="noConversion"/>
  </si>
  <si>
    <t>信仰</t>
    <phoneticPr fontId="1" type="noConversion"/>
  </si>
  <si>
    <t>信仰心</t>
    <phoneticPr fontId="1" type="noConversion"/>
  </si>
  <si>
    <t>性格</t>
    <phoneticPr fontId="1" type="noConversion"/>
  </si>
  <si>
    <t>角色简介</t>
  </si>
  <si>
    <t>附加设定</t>
  </si>
  <si>
    <t>立绘</t>
  </si>
  <si>
    <t>临时加成</t>
    <phoneticPr fontId="1" type="noConversion"/>
  </si>
  <si>
    <t>最终值</t>
    <phoneticPr fontId="1" type="noConversion"/>
  </si>
  <si>
    <t>基本属性</t>
    <phoneticPr fontId="1" type="noConversion"/>
  </si>
  <si>
    <t>力量</t>
    <phoneticPr fontId="1" type="noConversion"/>
  </si>
  <si>
    <t>敏捷</t>
    <phoneticPr fontId="1" type="noConversion"/>
  </si>
  <si>
    <t>体质</t>
    <phoneticPr fontId="1" type="noConversion"/>
  </si>
  <si>
    <t>智力</t>
    <phoneticPr fontId="1" type="noConversion"/>
  </si>
  <si>
    <t>魅力</t>
    <phoneticPr fontId="1" type="noConversion"/>
  </si>
  <si>
    <t>魔力</t>
    <phoneticPr fontId="1" type="noConversion"/>
  </si>
  <si>
    <t>/</t>
    <phoneticPr fontId="1" type="noConversion"/>
  </si>
  <si>
    <t>基础</t>
    <phoneticPr fontId="1" type="noConversion"/>
  </si>
  <si>
    <t>额外</t>
    <phoneticPr fontId="1" type="noConversion"/>
  </si>
  <si>
    <t>总值</t>
    <phoneticPr fontId="1" type="noConversion"/>
  </si>
  <si>
    <t>精神力（SP）</t>
    <phoneticPr fontId="1" type="noConversion"/>
  </si>
  <si>
    <t>武器威力</t>
    <phoneticPr fontId="1" type="noConversion"/>
  </si>
  <si>
    <t>攻击范围</t>
    <phoneticPr fontId="1" type="noConversion"/>
  </si>
  <si>
    <t>挂钩属性</t>
    <phoneticPr fontId="1" type="noConversion"/>
  </si>
  <si>
    <t>头部</t>
    <phoneticPr fontId="1" type="noConversion"/>
  </si>
  <si>
    <t>左右手</t>
    <phoneticPr fontId="1" type="noConversion"/>
  </si>
  <si>
    <t>躯干</t>
    <phoneticPr fontId="1" type="noConversion"/>
  </si>
  <si>
    <t>左右脚</t>
    <phoneticPr fontId="1" type="noConversion"/>
  </si>
  <si>
    <t>主武器</t>
    <phoneticPr fontId="1" type="noConversion"/>
  </si>
  <si>
    <t>类型</t>
    <phoneticPr fontId="1" type="noConversion"/>
  </si>
  <si>
    <t>武器熟练度</t>
    <phoneticPr fontId="1" type="noConversion"/>
  </si>
  <si>
    <t>种族特性</t>
    <phoneticPr fontId="1" type="noConversion"/>
  </si>
  <si>
    <t>基础值</t>
    <phoneticPr fontId="1" type="noConversion"/>
  </si>
  <si>
    <t>装备加成</t>
    <phoneticPr fontId="1" type="noConversion"/>
  </si>
  <si>
    <t>名称</t>
    <phoneticPr fontId="1" type="noConversion"/>
  </si>
  <si>
    <t>力量阈值</t>
    <phoneticPr fontId="1" type="noConversion"/>
  </si>
  <si>
    <t>简介</t>
    <phoneticPr fontId="1" type="noConversion"/>
  </si>
  <si>
    <t>武器一览</t>
    <phoneticPr fontId="1" type="noConversion"/>
  </si>
  <si>
    <t>副武器</t>
    <phoneticPr fontId="1" type="noConversion"/>
  </si>
  <si>
    <t>护甲值</t>
    <phoneticPr fontId="1" type="noConversion"/>
  </si>
  <si>
    <t>力量加成</t>
    <phoneticPr fontId="1" type="noConversion"/>
  </si>
  <si>
    <t>敏捷加成</t>
    <phoneticPr fontId="1" type="noConversion"/>
  </si>
  <si>
    <t>体质加成</t>
    <phoneticPr fontId="1" type="noConversion"/>
  </si>
  <si>
    <t>智力加成</t>
    <phoneticPr fontId="1" type="noConversion"/>
  </si>
  <si>
    <t>魅力加成</t>
    <phoneticPr fontId="1" type="noConversion"/>
  </si>
  <si>
    <t>魔力加成</t>
    <phoneticPr fontId="1" type="noConversion"/>
  </si>
  <si>
    <t>防具一览</t>
    <phoneticPr fontId="1" type="noConversion"/>
  </si>
  <si>
    <t>性别</t>
    <phoneticPr fontId="1" type="noConversion"/>
  </si>
  <si>
    <t>薙刀</t>
    <phoneticPr fontId="1" type="noConversion"/>
  </si>
  <si>
    <t>力量</t>
  </si>
  <si>
    <t>无</t>
    <phoneticPr fontId="1" type="noConversion"/>
  </si>
  <si>
    <t>螺旋号</t>
    <phoneticPr fontId="1" type="noConversion"/>
  </si>
  <si>
    <t>长枪</t>
    <phoneticPr fontId="1" type="noConversion"/>
  </si>
  <si>
    <t>直线3</t>
  </si>
  <si>
    <t>御海行者标配薙刀</t>
    <phoneticPr fontId="1" type="noConversion"/>
  </si>
  <si>
    <t>御海行者标配长枪</t>
    <phoneticPr fontId="1" type="noConversion"/>
  </si>
  <si>
    <t>斗笠</t>
    <phoneticPr fontId="1" type="noConversion"/>
  </si>
  <si>
    <t>亲水护臂</t>
    <phoneticPr fontId="1" type="noConversion"/>
  </si>
  <si>
    <t>武士中铠</t>
    <phoneticPr fontId="1" type="noConversion"/>
  </si>
  <si>
    <t>水行靴</t>
    <phoneticPr fontId="1" type="noConversion"/>
  </si>
  <si>
    <t>敏捷</t>
  </si>
  <si>
    <t>基础值</t>
    <phoneticPr fontId="1" type="noConversion"/>
  </si>
  <si>
    <t>顽强不屈</t>
    <phoneticPr fontId="1" type="noConversion"/>
  </si>
  <si>
    <t>热血沸腾</t>
    <phoneticPr fontId="1" type="noConversion"/>
  </si>
  <si>
    <t>薙刀世家</t>
    <phoneticPr fontId="1" type="noConversion"/>
  </si>
  <si>
    <t>受致命伤倒地后，进行体质检定时可恰一枚奖励骰</t>
    <phoneticPr fontId="1" type="noConversion"/>
  </si>
  <si>
    <t>亲手干掉一名敌人之后，本回合和下回合内全身护甲值+1，伤害+2</t>
    <phoneticPr fontId="1" type="noConversion"/>
  </si>
  <si>
    <t>使用薙刀作为武器时，可释放对周围若干格数所有敌人发动横扫的AOE技能（大风车），检定时只需投一次即可。</t>
    <phoneticPr fontId="1" type="noConversion"/>
  </si>
  <si>
    <t>属性值</t>
    <phoneticPr fontId="1" type="noConversion"/>
  </si>
  <si>
    <t>熟练度</t>
    <phoneticPr fontId="1" type="noConversion"/>
  </si>
  <si>
    <t>总阈值</t>
    <phoneticPr fontId="1" type="noConversion"/>
  </si>
  <si>
    <t>经验值</t>
    <phoneticPr fontId="1" type="noConversion"/>
  </si>
  <si>
    <t>泛用技能</t>
    <phoneticPr fontId="1" type="noConversion"/>
  </si>
  <si>
    <t>防御</t>
    <phoneticPr fontId="1" type="noConversion"/>
  </si>
  <si>
    <t>搬运</t>
    <phoneticPr fontId="1" type="noConversion"/>
  </si>
  <si>
    <t>恐吓</t>
    <phoneticPr fontId="1" type="noConversion"/>
  </si>
  <si>
    <t>说服</t>
    <phoneticPr fontId="1" type="noConversion"/>
  </si>
  <si>
    <t>哄骗</t>
    <phoneticPr fontId="1" type="noConversion"/>
  </si>
  <si>
    <t>闪避</t>
    <phoneticPr fontId="1" type="noConversion"/>
  </si>
  <si>
    <t>妙手</t>
    <phoneticPr fontId="1" type="noConversion"/>
  </si>
  <si>
    <t>潜行</t>
    <phoneticPr fontId="1" type="noConversion"/>
  </si>
  <si>
    <t>侦查</t>
    <phoneticPr fontId="1" type="noConversion"/>
  </si>
  <si>
    <t>魔法抗性</t>
    <phoneticPr fontId="1" type="noConversion"/>
  </si>
  <si>
    <t>抵抗</t>
    <phoneticPr fontId="1" type="noConversion"/>
  </si>
  <si>
    <t>攀爬</t>
    <phoneticPr fontId="1" type="noConversion"/>
  </si>
  <si>
    <t>水性</t>
    <phoneticPr fontId="1" type="noConversion"/>
  </si>
  <si>
    <t>跳跃</t>
    <phoneticPr fontId="1" type="noConversion"/>
  </si>
  <si>
    <t>心理学</t>
    <phoneticPr fontId="1" type="noConversion"/>
  </si>
  <si>
    <t>学习</t>
    <phoneticPr fontId="1" type="noConversion"/>
  </si>
  <si>
    <t>乔装</t>
    <phoneticPr fontId="1" type="noConversion"/>
  </si>
  <si>
    <t>剑</t>
    <phoneticPr fontId="1" type="noConversion"/>
  </si>
  <si>
    <t>打刀</t>
    <phoneticPr fontId="1" type="noConversion"/>
  </si>
  <si>
    <t>长刀</t>
    <phoneticPr fontId="1" type="noConversion"/>
  </si>
  <si>
    <t>战斧</t>
    <phoneticPr fontId="1" type="noConversion"/>
  </si>
  <si>
    <t>长戟</t>
    <phoneticPr fontId="1" type="noConversion"/>
  </si>
  <si>
    <t>大锤</t>
    <phoneticPr fontId="1" type="noConversion"/>
  </si>
  <si>
    <t>镰刀</t>
    <phoneticPr fontId="1" type="noConversion"/>
  </si>
  <si>
    <t>拳套</t>
    <phoneticPr fontId="1" type="noConversion"/>
  </si>
  <si>
    <t>匕首</t>
    <phoneticPr fontId="1" type="noConversion"/>
  </si>
  <si>
    <t>弓</t>
    <phoneticPr fontId="1" type="noConversion"/>
  </si>
  <si>
    <t>弩</t>
    <phoneticPr fontId="1" type="noConversion"/>
  </si>
  <si>
    <t>巨盾</t>
    <phoneticPr fontId="1" type="noConversion"/>
  </si>
  <si>
    <t>消耗SP</t>
    <phoneticPr fontId="1" type="noConversion"/>
  </si>
  <si>
    <t>效果</t>
    <phoneticPr fontId="1" type="noConversion"/>
  </si>
  <si>
    <t>特殊战技</t>
    <phoneticPr fontId="1" type="noConversion"/>
  </si>
  <si>
    <t>救助一位受伤的友军，成功则恢复.r1d5点血，失败则恢复1点血</t>
    <phoneticPr fontId="1" type="noConversion"/>
  </si>
  <si>
    <t>对武器范围内所有敌人发动攻击，检定时只需投一次</t>
    <phoneticPr fontId="1" type="noConversion"/>
  </si>
  <si>
    <t>御海行者</t>
    <phoneticPr fontId="1" type="noConversion"/>
  </si>
  <si>
    <t>等级</t>
    <phoneticPr fontId="1" type="noConversion"/>
  </si>
  <si>
    <t>流派经验</t>
    <phoneticPr fontId="1" type="noConversion"/>
  </si>
  <si>
    <t>心神之法</t>
    <phoneticPr fontId="1" type="noConversion"/>
  </si>
  <si>
    <t>√</t>
    <phoneticPr fontId="1" type="noConversion"/>
  </si>
  <si>
    <t>仪式之法</t>
    <phoneticPr fontId="1" type="noConversion"/>
  </si>
  <si>
    <t>仪式之法专用材料背包</t>
    <phoneticPr fontId="1" type="noConversion"/>
  </si>
  <si>
    <t>数量</t>
    <phoneticPr fontId="1" type="noConversion"/>
  </si>
  <si>
    <t>过劳过载</t>
    <phoneticPr fontId="1" type="noConversion"/>
  </si>
  <si>
    <t>缴械</t>
    <phoneticPr fontId="1" type="noConversion"/>
  </si>
  <si>
    <t>灵感</t>
    <phoneticPr fontId="1" type="noConversion"/>
  </si>
  <si>
    <t>智力</t>
  </si>
  <si>
    <t>魔法感知</t>
    <phoneticPr fontId="1" type="noConversion"/>
  </si>
  <si>
    <t>魔力</t>
  </si>
  <si>
    <t>特殊技艺</t>
    <phoneticPr fontId="1" type="noConversion"/>
  </si>
  <si>
    <t>当前值</t>
    <phoneticPr fontId="1" type="noConversion"/>
  </si>
  <si>
    <t>经典语录</t>
    <phoneticPr fontId="1" type="noConversion"/>
  </si>
  <si>
    <t>履历</t>
    <phoneticPr fontId="1" type="noConversion"/>
  </si>
  <si>
    <t>“今天的大海还是一如既往的平静啊！”</t>
    <phoneticPr fontId="1" type="noConversion"/>
  </si>
  <si>
    <t>减伤</t>
    <phoneticPr fontId="1" type="noConversion"/>
  </si>
  <si>
    <t>额外生命</t>
    <phoneticPr fontId="1" type="noConversion"/>
  </si>
  <si>
    <t xml:space="preserve">出生于天狗国外圈的平凡家族的鲸天狗。
成年之后子承父业，接下了他爹御海行者的职位，守护着天狗国领海的安全。
</t>
    <phoneticPr fontId="1" type="noConversion"/>
  </si>
  <si>
    <t>爪</t>
    <phoneticPr fontId="1" type="noConversion"/>
  </si>
  <si>
    <t>所属社群</t>
    <phoneticPr fontId="1" type="noConversion"/>
  </si>
  <si>
    <t>飞津海卫</t>
    <phoneticPr fontId="1" type="noConversion"/>
  </si>
  <si>
    <t>消费水平</t>
    <phoneticPr fontId="1" type="noConversion"/>
  </si>
  <si>
    <t>月零用</t>
    <phoneticPr fontId="1" type="noConversion"/>
  </si>
  <si>
    <t>社群等级</t>
    <phoneticPr fontId="1" type="noConversion"/>
  </si>
  <si>
    <t>男</t>
    <phoneticPr fontId="1" type="noConversion"/>
  </si>
  <si>
    <t>种族</t>
    <phoneticPr fontId="1" type="noConversion"/>
  </si>
  <si>
    <t>体重</t>
    <phoneticPr fontId="1" type="noConversion"/>
  </si>
  <si>
    <t>年龄</t>
    <phoneticPr fontId="1" type="noConversion"/>
  </si>
  <si>
    <t>惯用手</t>
    <phoneticPr fontId="1" type="noConversion"/>
  </si>
  <si>
    <t>见闻</t>
    <phoneticPr fontId="1" type="noConversion"/>
  </si>
  <si>
    <t>战术</t>
    <phoneticPr fontId="1" type="noConversion"/>
  </si>
  <si>
    <t>感知</t>
    <phoneticPr fontId="1" type="noConversion"/>
  </si>
  <si>
    <t>技能1</t>
    <phoneticPr fontId="1" type="noConversion"/>
  </si>
  <si>
    <t>技能2</t>
    <phoneticPr fontId="1" type="noConversion"/>
  </si>
  <si>
    <t>效果1</t>
    <phoneticPr fontId="1" type="noConversion"/>
  </si>
  <si>
    <t>效果2</t>
    <phoneticPr fontId="1" type="noConversion"/>
  </si>
  <si>
    <t>类型1</t>
    <phoneticPr fontId="1" type="noConversion"/>
  </si>
  <si>
    <t>类型2</t>
    <phoneticPr fontId="1" type="noConversion"/>
  </si>
  <si>
    <t>特战1</t>
    <phoneticPr fontId="1" type="noConversion"/>
  </si>
  <si>
    <t>特战2</t>
    <phoneticPr fontId="1" type="noConversion"/>
  </si>
  <si>
    <t>√</t>
  </si>
  <si>
    <t>×</t>
  </si>
  <si>
    <t>×</t>
    <phoneticPr fontId="1" type="noConversion"/>
  </si>
  <si>
    <t>巨剑</t>
    <phoneticPr fontId="1" type="noConversion"/>
  </si>
  <si>
    <t>火器</t>
    <phoneticPr fontId="1" type="noConversion"/>
  </si>
  <si>
    <t>发射器</t>
    <phoneticPr fontId="1" type="noConversion"/>
  </si>
  <si>
    <t>长柄刀</t>
    <phoneticPr fontId="1" type="noConversion"/>
  </si>
  <si>
    <t>40贯</t>
    <phoneticPr fontId="1" type="noConversion"/>
  </si>
  <si>
    <t>500文</t>
    <phoneticPr fontId="1" type="noConversion"/>
  </si>
  <si>
    <t>变体</t>
    <phoneticPr fontId="1" type="noConversion"/>
  </si>
  <si>
    <t>进攻衰减</t>
    <phoneticPr fontId="1" type="noConversion"/>
  </si>
  <si>
    <t>长枪</t>
  </si>
  <si>
    <t>若存在“有属性加成”词条</t>
    <phoneticPr fontId="1" type="noConversion"/>
  </si>
  <si>
    <t>有属性加成</t>
    <phoneticPr fontId="1" type="noConversion"/>
  </si>
  <si>
    <t>平均力量阈值</t>
    <phoneticPr fontId="1" type="noConversion"/>
  </si>
  <si>
    <t>防守衰减</t>
    <phoneticPr fontId="1" type="noConversion"/>
  </si>
  <si>
    <t>经历点</t>
    <phoneticPr fontId="1" type="noConversion"/>
  </si>
  <si>
    <t>收支</t>
    <phoneticPr fontId="1" type="noConversion"/>
  </si>
  <si>
    <t>结余</t>
    <phoneticPr fontId="1" type="noConversion"/>
  </si>
  <si>
    <t>条目</t>
    <phoneticPr fontId="1" type="noConversion"/>
  </si>
  <si>
    <t>开卡</t>
    <phoneticPr fontId="1" type="noConversion"/>
  </si>
  <si>
    <t>天历前386年    诞生
出生于天狗国飞津国大河原城。
天历前26年    360岁
成年，继承家业，加入飞津海卫，成为御海行者</t>
    <phoneticPr fontId="1" type="noConversion"/>
  </si>
  <si>
    <t>成长</t>
    <phoneticPr fontId="1" type="noConversion"/>
  </si>
  <si>
    <t>体力（HP）</t>
  </si>
  <si>
    <t>行动点（AP）</t>
    <phoneticPr fontId="1" type="noConversion"/>
  </si>
  <si>
    <t>敏捷+额外</t>
    <phoneticPr fontId="1" type="noConversion"/>
  </si>
  <si>
    <t>战斗速查</t>
    <phoneticPr fontId="1" type="noConversion"/>
  </si>
  <si>
    <t>当前武器</t>
    <phoneticPr fontId="1" type="noConversion"/>
  </si>
  <si>
    <t>技能</t>
    <phoneticPr fontId="1" type="noConversion"/>
  </si>
  <si>
    <t>手动修正</t>
    <phoneticPr fontId="1" type="noConversion"/>
  </si>
  <si>
    <t>进攻阈值</t>
    <phoneticPr fontId="1" type="noConversion"/>
  </si>
  <si>
    <t>防御阈值</t>
    <phoneticPr fontId="1" type="noConversion"/>
  </si>
  <si>
    <t>闪避阈值</t>
    <phoneticPr fontId="1" type="noConversion"/>
  </si>
  <si>
    <t>衰减</t>
    <phoneticPr fontId="1" type="noConversion"/>
  </si>
  <si>
    <t>查询</t>
    <phoneticPr fontId="1" type="noConversion"/>
  </si>
  <si>
    <t>类别</t>
    <phoneticPr fontId="1" type="noConversion"/>
  </si>
  <si>
    <t>项目</t>
    <phoneticPr fontId="1" type="noConversion"/>
  </si>
  <si>
    <t>最终阈值</t>
    <phoneticPr fontId="1" type="noConversion"/>
  </si>
  <si>
    <t>武器</t>
    <phoneticPr fontId="1" type="noConversion"/>
  </si>
  <si>
    <t>杖</t>
    <phoneticPr fontId="1" type="noConversion"/>
  </si>
  <si>
    <t>防具部位速查</t>
    <phoneticPr fontId="1" type="noConversion"/>
  </si>
  <si>
    <t>部位</t>
    <phoneticPr fontId="1" type="noConversion"/>
  </si>
  <si>
    <t>护甲</t>
    <phoneticPr fontId="1" type="noConversion"/>
  </si>
  <si>
    <t>当前生命</t>
    <phoneticPr fontId="1" type="noConversion"/>
  </si>
  <si>
    <t>最大额外生命</t>
    <phoneticPr fontId="1" type="noConversion"/>
  </si>
  <si>
    <t>战术奖励</t>
    <phoneticPr fontId="1" type="noConversion"/>
  </si>
  <si>
    <t>夹击</t>
    <phoneticPr fontId="1" type="noConversion"/>
  </si>
  <si>
    <t>冲锋</t>
    <phoneticPr fontId="1" type="noConversion"/>
  </si>
  <si>
    <t>侧翼攻袭</t>
    <phoneticPr fontId="1" type="noConversion"/>
  </si>
  <si>
    <t>背靠背</t>
    <phoneticPr fontId="1" type="noConversion"/>
  </si>
  <si>
    <t>强袭态势</t>
    <phoneticPr fontId="1" type="noConversion"/>
  </si>
  <si>
    <t>坚守态势</t>
    <phoneticPr fontId="1" type="noConversion"/>
  </si>
  <si>
    <t>蹲伏态势</t>
    <phoneticPr fontId="1" type="noConversion"/>
  </si>
  <si>
    <t>原始</t>
    <phoneticPr fontId="1" type="noConversion"/>
  </si>
  <si>
    <t>符合夹击判定条件时，你进攻的检定阈值附加战术奖励</t>
    <phoneticPr fontId="1" type="noConversion"/>
  </si>
  <si>
    <t>符合冲锋判定条件时，你进攻的检定阈值附加战术奖励</t>
    <phoneticPr fontId="1" type="noConversion"/>
  </si>
  <si>
    <t>当目标背对你时，你进攻的检定阈值附加战术奖励</t>
    <phoneticPr fontId="1" type="noConversion"/>
  </si>
  <si>
    <t>范围1格内有2名队友时，你防守的检定阈值附加战术奖励，最多叠加1层（不可叠加）</t>
    <phoneticPr fontId="1" type="noConversion"/>
  </si>
  <si>
    <t>初级</t>
    <phoneticPr fontId="1" type="noConversion"/>
  </si>
  <si>
    <t>中级</t>
    <phoneticPr fontId="1" type="noConversion"/>
  </si>
  <si>
    <t>上级</t>
    <phoneticPr fontId="1" type="noConversion"/>
  </si>
  <si>
    <t>原始效果</t>
    <phoneticPr fontId="1" type="noConversion"/>
  </si>
  <si>
    <t>初级效果</t>
    <phoneticPr fontId="1" type="noConversion"/>
  </si>
  <si>
    <t>中级效果</t>
    <phoneticPr fontId="1" type="noConversion"/>
  </si>
  <si>
    <t>上级效果</t>
    <phoneticPr fontId="1" type="noConversion"/>
  </si>
  <si>
    <t>你的友军不再阻碍你的冲锋，且你在冲锋过程中可以通过一些检定来越过障碍物</t>
    <phoneticPr fontId="1" type="noConversion"/>
  </si>
  <si>
    <t>你在冲锋过程中移动消耗的行动点减半</t>
    <phoneticPr fontId="1" type="noConversion"/>
  </si>
  <si>
    <t>进行冲锋前你可以进行移动</t>
    <phoneticPr fontId="1" type="noConversion"/>
  </si>
  <si>
    <t>当目标侧对你时，你进攻的检定阈值附加一半的战术奖励，但不应用战术技能的升级奖励</t>
    <phoneticPr fontId="1" type="noConversion"/>
  </si>
  <si>
    <t>当目标侧对你时，你进攻的检定阈值附加战术奖励</t>
    <phoneticPr fontId="1" type="noConversion"/>
  </si>
  <si>
    <t>判定范围内有1名队友即可生效，最多叠加2层</t>
    <phoneticPr fontId="1" type="noConversion"/>
  </si>
  <si>
    <t>判定范围扩大1格，最多叠加3层</t>
    <phoneticPr fontId="1" type="noConversion"/>
  </si>
  <si>
    <t>魔法抗性检定和抵抗检定也可适用本战术</t>
    <phoneticPr fontId="1" type="noConversion"/>
  </si>
  <si>
    <t>反击态势</t>
    <phoneticPr fontId="1" type="noConversion"/>
  </si>
  <si>
    <t>若进攻成功，敌方露出一次破绽，仅对与你构成夹击的友方角色有效</t>
    <phoneticPr fontId="1" type="noConversion"/>
  </si>
  <si>
    <t>夹击状态下，无论你进攻成功与否，都可以让对手露出破绽</t>
    <phoneticPr fontId="1" type="noConversion"/>
  </si>
  <si>
    <t>夹击的队友无需与你构成直线</t>
    <phoneticPr fontId="1" type="noConversion"/>
  </si>
  <si>
    <t>当目标正对/侧对你时，你可以以消耗行动点1.5倍为代价，视为侧对/背对你</t>
    <phoneticPr fontId="1" type="noConversion"/>
  </si>
  <si>
    <t>投入3点行动点，下回合你的第一次攻击阈值附加战术奖励</t>
    <phoneticPr fontId="1" type="noConversion"/>
  </si>
  <si>
    <t>下回合你的第一次攻击伤害变为1.5倍</t>
    <phoneticPr fontId="1" type="noConversion"/>
  </si>
  <si>
    <t>下回合你的进攻阈值衰减速度减半</t>
    <phoneticPr fontId="1" type="noConversion"/>
  </si>
  <si>
    <t>下回合你无视一切增加移动消耗的效果</t>
    <phoneticPr fontId="1" type="noConversion"/>
  </si>
  <si>
    <t>投入3点行动点，到下回合你的行动开始为止，你对抗远程攻击附加战术奖励</t>
    <phoneticPr fontId="1" type="noConversion"/>
  </si>
  <si>
    <t>投入3点行动点，到下回合你的行动开始为止，你的防御检定附加战术奖励</t>
    <phoneticPr fontId="1" type="noConversion"/>
  </si>
  <si>
    <t>到下回合你的行动开始为止，你的可以代替你周围4格内的友方角色进行防御检定</t>
    <phoneticPr fontId="1" type="noConversion"/>
  </si>
  <si>
    <t>到下回合你的行动开始为止，你的防守阈值衰减速度减半</t>
    <phoneticPr fontId="1" type="noConversion"/>
  </si>
  <si>
    <t>到下回合你的行动开始为止，你无法被位移，获得一次抵消昏迷/致命伤/致伤的机会</t>
    <phoneticPr fontId="1" type="noConversion"/>
  </si>
  <si>
    <t xml:space="preserve">  投入3点行动点，到下回合你的行动开始为止，受到对方攻击后，立刻获得一次免行动点的攻击机会（算衰减），且本次进攻阈值附加战术奖励，每回合一次</t>
    <phoneticPr fontId="1" type="noConversion"/>
  </si>
  <si>
    <t>到下回合你的行动开始为止，你的反击机会提到对方进攻之前</t>
    <phoneticPr fontId="1" type="noConversion"/>
  </si>
  <si>
    <t>到下回合你的行动开始为止，你的反击不算阈值衰减</t>
    <phoneticPr fontId="1" type="noConversion"/>
  </si>
  <si>
    <t>到下回合你的行动开始为止，只要对方攻击失败，你就能立刻多反击一次</t>
    <phoneticPr fontId="1" type="noConversion"/>
  </si>
  <si>
    <t>最大值</t>
    <phoneticPr fontId="1" type="noConversion"/>
  </si>
  <si>
    <t>体力</t>
    <phoneticPr fontId="1" type="noConversion"/>
  </si>
  <si>
    <t>精神力</t>
    <phoneticPr fontId="1" type="noConversion"/>
  </si>
  <si>
    <t>行动点</t>
    <phoneticPr fontId="1" type="noConversion"/>
  </si>
  <si>
    <t>职业加成</t>
    <phoneticPr fontId="1" type="noConversion"/>
  </si>
  <si>
    <t>社群加成</t>
    <phoneticPr fontId="1" type="noConversion"/>
  </si>
  <si>
    <t>所属社群信息</t>
    <phoneticPr fontId="1" type="noConversion"/>
  </si>
  <si>
    <t>总部地址</t>
    <phoneticPr fontId="1" type="noConversion"/>
  </si>
  <si>
    <t>天狗国-飞津-大河原城</t>
    <phoneticPr fontId="1" type="noConversion"/>
  </si>
  <si>
    <t>职业名称</t>
    <phoneticPr fontId="1" type="noConversion"/>
  </si>
  <si>
    <t>职业等级</t>
    <phoneticPr fontId="1" type="noConversion"/>
  </si>
  <si>
    <t>熟练技能</t>
    <phoneticPr fontId="1" type="noConversion"/>
  </si>
  <si>
    <t>职业特性</t>
    <phoneticPr fontId="1" type="noConversion"/>
  </si>
  <si>
    <t>水下所有检定有-10的奖励</t>
    <phoneticPr fontId="1" type="noConversion"/>
  </si>
  <si>
    <t>武者</t>
    <phoneticPr fontId="1" type="noConversion"/>
  </si>
  <si>
    <t>卫士</t>
    <phoneticPr fontId="1" type="noConversion"/>
  </si>
  <si>
    <t>每回合多2次进入子弹时间的机会；每回合获得额外2点只可用于敌意行动的行动点。</t>
    <phoneticPr fontId="1" type="noConversion"/>
  </si>
  <si>
    <t>长柄刀、长枪、水性、防御、抵抗、缴械</t>
    <phoneticPr fontId="1" type="noConversion"/>
  </si>
  <si>
    <t>长柄刀、搬运、缴械</t>
    <phoneticPr fontId="1" type="noConversion"/>
  </si>
  <si>
    <t>抵抗、水性、防御</t>
    <phoneticPr fontId="1" type="noConversion"/>
  </si>
  <si>
    <t>每回合获得一次群体嘲讽的机会；每回合的第一次防守检定不算衰减。</t>
    <phoneticPr fontId="1" type="noConversion"/>
  </si>
  <si>
    <t>开局选择武者职业</t>
    <phoneticPr fontId="1" type="noConversion"/>
  </si>
  <si>
    <t>武者职业升到5级</t>
    <phoneticPr fontId="1" type="noConversion"/>
  </si>
  <si>
    <t>卫士职业升到5级</t>
    <phoneticPr fontId="1" type="noConversion"/>
  </si>
  <si>
    <t>加入飞津海卫，御海行者职业升到2级</t>
    <phoneticPr fontId="1" type="noConversion"/>
  </si>
  <si>
    <t>天命</t>
    <phoneticPr fontId="1" type="noConversion"/>
  </si>
  <si>
    <t>当前值</t>
    <phoneticPr fontId="1" type="noConversion"/>
  </si>
  <si>
    <t>通用增加方式</t>
    <phoneticPr fontId="1" type="noConversion"/>
  </si>
  <si>
    <t>通用减少方式</t>
    <phoneticPr fontId="1" type="noConversion"/>
  </si>
  <si>
    <t>角色的主动提案拥有合理的解释，且被团队采纳，增加1点天命</t>
    <phoneticPr fontId="1" type="noConversion"/>
  </si>
  <si>
    <t>团队思考时间过长（空窗期超过5min），最后由npc指引行动，团队中所有人扣除1点天命</t>
    <phoneticPr fontId="1" type="noConversion"/>
  </si>
  <si>
    <t>角色专属增加方式</t>
    <phoneticPr fontId="1" type="noConversion"/>
  </si>
  <si>
    <t>自信和率直一直是大河原龙成引以为豪的优点。当龙成遭遇抉择时，他会毫不犹豫地根据第一想法做出选择。若这么做（空窗期不超过5min），龙成的天命+1</t>
    <phoneticPr fontId="1" type="noConversion"/>
  </si>
  <si>
    <t>角色专属减少方式</t>
    <phoneticPr fontId="1" type="noConversion"/>
  </si>
  <si>
    <t>年轻气盛的大河原龙成不屑于与肮脏的社会规则同流合污。如果龙成放任，甚至自己做出违反公德的事情的话，龙成的天命-1</t>
    <phoneticPr fontId="1" type="noConversion"/>
  </si>
  <si>
    <t>被动战术</t>
    <phoneticPr fontId="1" type="noConversion"/>
  </si>
  <si>
    <t>被动战技</t>
    <phoneticPr fontId="1" type="noConversion"/>
  </si>
  <si>
    <t>阈值变动</t>
    <phoneticPr fontId="1" type="noConversion"/>
  </si>
  <si>
    <t>奖励骰</t>
    <phoneticPr fontId="1" type="noConversion"/>
  </si>
  <si>
    <t>鉴定值</t>
    <phoneticPr fontId="1" type="noConversion"/>
  </si>
  <si>
    <t>伤害倍率</t>
    <phoneticPr fontId="1" type="noConversion"/>
  </si>
  <si>
    <t>正常状态</t>
    <phoneticPr fontId="1" type="noConversion"/>
  </si>
  <si>
    <t>强袭姿态</t>
    <phoneticPr fontId="1" type="noConversion"/>
  </si>
  <si>
    <t>侧翼攻袭（背）</t>
    <phoneticPr fontId="1" type="noConversion"/>
  </si>
  <si>
    <t>侧翼攻袭（侧）</t>
    <phoneticPr fontId="1" type="noConversion"/>
  </si>
  <si>
    <t>总阈值变动</t>
    <phoneticPr fontId="1" type="noConversion"/>
  </si>
  <si>
    <t>总奖励骰</t>
    <phoneticPr fontId="1" type="noConversion"/>
  </si>
  <si>
    <t>总鉴定值</t>
    <phoneticPr fontId="1" type="noConversion"/>
  </si>
  <si>
    <t>是否满足条件</t>
    <phoneticPr fontId="1" type="noConversion"/>
  </si>
  <si>
    <t>总调整值</t>
    <phoneticPr fontId="1" type="noConversion"/>
  </si>
  <si>
    <t>基础阈值</t>
    <phoneticPr fontId="1" type="noConversion"/>
  </si>
  <si>
    <t>输出格式</t>
    <phoneticPr fontId="1" type="noConversion"/>
  </si>
  <si>
    <t>[PL战斗阈值速查卡ver0.1（手填）]</t>
    <phoneticPr fontId="1" type="noConversion"/>
  </si>
  <si>
    <t>总伤害倍率奖励</t>
    <phoneticPr fontId="1" type="noConversion"/>
  </si>
  <si>
    <t>最终伤害倍率奖励</t>
    <phoneticPr fontId="1" type="noConversion"/>
  </si>
  <si>
    <t>（.rav基础阈值+总阈值变动：总奖励骰&lt;总鉴定值）</t>
    <phoneticPr fontId="1" type="noConversion"/>
  </si>
  <si>
    <t>例：（.rav51+30：2&lt;30）</t>
    <phoneticPr fontId="1" type="noConversion"/>
  </si>
  <si>
    <t>投掷</t>
    <phoneticPr fontId="1" type="noConversion"/>
  </si>
  <si>
    <t>鞭</t>
    <phoneticPr fontId="1" type="noConversion"/>
  </si>
  <si>
    <t>魅力</t>
  </si>
  <si>
    <t>体质</t>
  </si>
  <si>
    <t>远程武器</t>
    <phoneticPr fontId="1" type="noConversion"/>
  </si>
  <si>
    <t>短程武器</t>
    <phoneticPr fontId="1" type="noConversion"/>
  </si>
  <si>
    <t>中程武器</t>
    <phoneticPr fontId="1" type="noConversion"/>
  </si>
  <si>
    <t>长柄武器</t>
    <phoneticPr fontId="1" type="noConversion"/>
  </si>
  <si>
    <t>棍</t>
    <phoneticPr fontId="1" type="noConversion"/>
  </si>
  <si>
    <t>重型武器</t>
    <phoneticPr fontId="1" type="noConversion"/>
  </si>
  <si>
    <t>近藤镇教</t>
  </si>
  <si>
    <t>近藤镇教</t>
    <phoneticPr fontId="1" type="noConversion"/>
  </si>
  <si>
    <t>长柄刀</t>
  </si>
  <si>
    <t>蹲伏姿态</t>
    <phoneticPr fontId="1" type="noConversion"/>
  </si>
  <si>
    <t>坚守姿态</t>
    <phoneticPr fontId="1" type="noConversion"/>
  </si>
  <si>
    <t>反击姿态</t>
    <phoneticPr fontId="1" type="noConversion"/>
  </si>
  <si>
    <t>天狗语</t>
    <phoneticPr fontId="1" type="noConversion"/>
  </si>
  <si>
    <t>飞津方言</t>
    <phoneticPr fontId="1" type="noConversion"/>
  </si>
  <si>
    <t>总经历点</t>
    <phoneticPr fontId="1" type="noConversion"/>
  </si>
  <si>
    <t>你对抗直射时防守阈值不再减半</t>
    <phoneticPr fontId="1" type="noConversion"/>
  </si>
  <si>
    <t>立刻进入潜行状态（若有“遁影”技能则进入隐身状态）</t>
    <phoneticPr fontId="1" type="noConversion"/>
  </si>
  <si>
    <t>你可以花费1行动点蹲下（并非蹲伏姿态），来获得将半掩体视为全掩体的效果，不结束回合，但无法移动，可以再花费1行动点起身</t>
    <phoneticPr fontId="1" type="noConversion"/>
  </si>
  <si>
    <t>衰减次数</t>
    <phoneticPr fontId="1" type="noConversion"/>
  </si>
  <si>
    <t>一般衰减</t>
    <phoneticPr fontId="1" type="noConversion"/>
  </si>
  <si>
    <t>特殊衰减</t>
    <phoneticPr fontId="1" type="noConversion"/>
  </si>
  <si>
    <t>总衰减量</t>
    <phoneticPr fontId="1" type="noConversion"/>
  </si>
  <si>
    <t>当前阈值</t>
    <phoneticPr fontId="1" type="noConversion"/>
  </si>
  <si>
    <t>补偿经历点</t>
    <phoneticPr fontId="1" type="noConversion"/>
  </si>
  <si>
    <t>基本经历点</t>
    <phoneticPr fontId="1" type="noConversion"/>
  </si>
  <si>
    <t>升级记录
印痕效果</t>
    <phoneticPr fontId="1" type="noConversion"/>
  </si>
  <si>
    <t>特殊效果/印痕</t>
    <phoneticPr fontId="1" type="noConversion"/>
  </si>
  <si>
    <t>若攻击处于长距离武器惩罚范围内的敌人，可用武器威力减半代替进攻阈值减半
可以套上刀鞘，将造成伤害的一半转化为sp伤害，可花费1行动点切换</t>
    <phoneticPr fontId="1" type="noConversion"/>
  </si>
  <si>
    <t>注：若自身水平未达到武器要求，则在左侧填写武器完整的属性，在这里填写武器降级后的属性</t>
    <phoneticPr fontId="1" type="noConversion"/>
  </si>
  <si>
    <t>注：若自身水平未达到防具要求，则在左侧填写防具完整的属性，在这里填写防具降级后的属性</t>
  </si>
  <si>
    <t>注：若自身水平未达到防具要求，则在左侧填写防具完整的属性，在这里填写防具降级后的属性</t>
    <phoneticPr fontId="1" type="noConversion"/>
  </si>
  <si>
    <t>是否处于坐骑上</t>
    <phoneticPr fontId="1" type="noConversion"/>
  </si>
  <si>
    <t>坐骑护甲</t>
    <phoneticPr fontId="1" type="noConversion"/>
  </si>
  <si>
    <t>是否有无需切换武器也能享受特殊效果带来的增益</t>
    <phoneticPr fontId="1" type="noConversion"/>
  </si>
  <si>
    <t>大河原龙成</t>
    <phoneticPr fontId="1" type="noConversion"/>
  </si>
  <si>
    <t>鲸天狗</t>
    <phoneticPr fontId="1" type="noConversion"/>
  </si>
  <si>
    <t>184cm</t>
    <phoneticPr fontId="1" type="noConversion"/>
  </si>
  <si>
    <t>78kg</t>
    <phoneticPr fontId="1" type="noConversion"/>
  </si>
  <si>
    <t>右手</t>
    <phoneticPr fontId="1" type="noConversion"/>
  </si>
  <si>
    <t>中等</t>
    <phoneticPr fontId="1" type="noConversion"/>
  </si>
  <si>
    <t>大神教</t>
    <phoneticPr fontId="1" type="noConversion"/>
  </si>
  <si>
    <t>较易冲动、自信、直率</t>
    <phoneticPr fontId="1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</si>
  <si>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1" type="noConversion"/>
  </si>
  <si>
    <t>属性点补偿</t>
    <phoneticPr fontId="1" type="noConversion"/>
  </si>
  <si>
    <t>盾类武器</t>
    <phoneticPr fontId="1" type="noConversion"/>
  </si>
  <si>
    <t>轻盾</t>
    <phoneticPr fontId="1" type="noConversion"/>
  </si>
  <si>
    <t>长盾</t>
    <phoneticPr fontId="1" type="noConversion"/>
  </si>
  <si>
    <t>塑型之法</t>
    <phoneticPr fontId="1" type="noConversion"/>
  </si>
  <si>
    <t>当前塑型土（g）</t>
    <phoneticPr fontId="1" type="noConversion"/>
  </si>
  <si>
    <t>塑型土上限（g）</t>
    <phoneticPr fontId="1" type="noConversion"/>
  </si>
  <si>
    <t>主修流派</t>
    <phoneticPr fontId="1" type="noConversion"/>
  </si>
  <si>
    <t>漩涡之法</t>
  </si>
  <si>
    <t>若非主修流派，流派经验经验获取效率减半</t>
    <phoneticPr fontId="1" type="noConversion"/>
  </si>
  <si>
    <t>魔法流派</t>
    <phoneticPr fontId="1" type="noConversion"/>
  </si>
  <si>
    <t>流派名称</t>
    <phoneticPr fontId="1" type="noConversion"/>
  </si>
  <si>
    <t>流派等级</t>
    <phoneticPr fontId="1" type="noConversion"/>
  </si>
  <si>
    <t>流派效果</t>
    <phoneticPr fontId="1" type="noConversion"/>
  </si>
  <si>
    <t>漩涡之法</t>
    <phoneticPr fontId="1" type="noConversion"/>
  </si>
  <si>
    <t>心神之法</t>
  </si>
  <si>
    <t>仪式之法</t>
  </si>
  <si>
    <t>塑型之法</t>
  </si>
  <si>
    <t>免费过载</t>
    <phoneticPr fontId="1" type="noConversion"/>
  </si>
  <si>
    <t>当前主职</t>
    <phoneticPr fontId="1" type="noConversion"/>
  </si>
  <si>
    <t>职业</t>
    <phoneticPr fontId="1" type="noConversion"/>
  </si>
  <si>
    <t>御海行者</t>
  </si>
  <si>
    <t>短棍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</si>
</sst>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_ "/>
  </numFmts>
  <fonts count="5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5"/>
      <color theme="3"/>
      <name val="等线"/>
      <family val="2"/>
      <charset val="134"/>
      <scheme val="minor"/>
    </font>
    <font>
      <sz val="28"/>
      <color theme="1"/>
      <name val="方正准圆_GBK"/>
      <family val="4"/>
      <charset val="134"/>
    </font>
    <font>
      <sz val="14"/>
      <color theme="1"/>
      <name val="方正准圆_GBK"/>
      <family val="4"/>
      <charset val="134"/>
    </font>
    <font>
      <sz val="16"/>
      <color rgb="FFFF0000"/>
      <name val="方正准圆_GBK"/>
      <family val="4"/>
      <charset val="134"/>
    </font>
    <font>
      <sz val="16"/>
      <color rgb="FF92D050"/>
      <name val="方正准圆_GBK"/>
      <family val="4"/>
      <charset val="134"/>
    </font>
    <font>
      <sz val="16"/>
      <color rgb="FFFFC000"/>
      <name val="方正准圆_GBK"/>
      <family val="4"/>
      <charset val="134"/>
    </font>
    <font>
      <sz val="16"/>
      <color rgb="FF0070C0"/>
      <name val="方正准圆_GBK"/>
      <family val="4"/>
      <charset val="134"/>
    </font>
    <font>
      <sz val="16"/>
      <color rgb="FFFF66FF"/>
      <name val="方正准圆_GBK"/>
      <family val="4"/>
      <charset val="134"/>
    </font>
    <font>
      <sz val="16"/>
      <color rgb="FF7030A0"/>
      <name val="方正准圆_GBK"/>
      <family val="4"/>
      <charset val="134"/>
    </font>
    <font>
      <sz val="11"/>
      <color theme="1"/>
      <name val="方正准圆_GBK"/>
      <family val="4"/>
      <charset val="134"/>
    </font>
    <font>
      <sz val="24"/>
      <color theme="1"/>
      <name val="方正准圆_GBK"/>
      <family val="4"/>
      <charset val="134"/>
    </font>
    <font>
      <sz val="22"/>
      <color theme="1"/>
      <name val="方正准圆_GBK"/>
      <family val="4"/>
      <charset val="134"/>
    </font>
    <font>
      <sz val="12"/>
      <color theme="1"/>
      <name val="方正准圆_GBK"/>
      <family val="4"/>
      <charset val="134"/>
    </font>
    <font>
      <b/>
      <sz val="15"/>
      <color theme="3"/>
      <name val="方正准圆_GBK"/>
      <family val="4"/>
      <charset val="134"/>
    </font>
    <font>
      <b/>
      <sz val="12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indexed="17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8"/>
      <color theme="1"/>
      <name val="方正准圆_GBK"/>
      <family val="4"/>
      <charset val="134"/>
    </font>
    <font>
      <sz val="9"/>
      <color theme="1"/>
      <name val="等线"/>
      <family val="3"/>
      <charset val="134"/>
      <scheme val="minor"/>
    </font>
    <font>
      <b/>
      <sz val="14"/>
      <color theme="4" tint="-0.499984740745262"/>
      <name val="方正准圆_GBK"/>
      <family val="4"/>
      <charset val="134"/>
    </font>
    <font>
      <sz val="20"/>
      <color theme="4" tint="-0.499984740745262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b/>
      <sz val="11"/>
      <color theme="3"/>
      <name val="方正准圆_GBK"/>
      <family val="4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2"/>
      <color theme="1"/>
      <name val="方正准圆_GBK"/>
      <family val="4"/>
      <charset val="134"/>
    </font>
    <font>
      <b/>
      <sz val="20"/>
      <color theme="1"/>
      <name val="方正准圆_GBK"/>
      <family val="4"/>
      <charset val="134"/>
    </font>
    <font>
      <b/>
      <sz val="12"/>
      <color theme="1"/>
      <name val="微软雅黑"/>
      <family val="2"/>
      <charset val="134"/>
    </font>
    <font>
      <b/>
      <sz val="12"/>
      <color theme="0"/>
      <name val="方正准圆_GBK"/>
      <family val="4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family val="4"/>
      <charset val="134"/>
    </font>
    <font>
      <b/>
      <sz val="11"/>
      <name val="等线"/>
      <family val="3"/>
      <charset val="134"/>
      <scheme val="minor"/>
    </font>
    <font>
      <sz val="11"/>
      <color theme="1"/>
      <name val="经典粗圆简"/>
      <family val="3"/>
      <charset val="134"/>
    </font>
    <font>
      <sz val="20"/>
      <color theme="1"/>
      <name val="方正准圆_GBK"/>
      <family val="4"/>
      <charset val="134"/>
    </font>
    <font>
      <b/>
      <sz val="28"/>
      <color theme="1"/>
      <name val="方正准圆_GBK"/>
      <family val="4"/>
      <charset val="134"/>
    </font>
    <font>
      <b/>
      <sz val="11"/>
      <color theme="1"/>
      <name val="等线"/>
      <family val="2"/>
      <scheme val="minor"/>
    </font>
    <font>
      <b/>
      <sz val="10"/>
      <color theme="1"/>
      <name val="等线"/>
      <family val="3"/>
      <charset val="134"/>
      <scheme val="minor"/>
    </font>
    <font>
      <b/>
      <sz val="18"/>
      <color theme="1"/>
      <name val="方正准圆_GBK"/>
      <family val="4"/>
      <charset val="134"/>
    </font>
    <font>
      <b/>
      <sz val="11"/>
      <color theme="1"/>
      <name val="方正准圆_GBK"/>
      <family val="4"/>
      <charset val="134"/>
    </font>
    <font>
      <sz val="24"/>
      <color theme="1"/>
      <name val="经典粗圆简"/>
      <family val="3"/>
      <charset val="134"/>
    </font>
    <font>
      <b/>
      <sz val="10"/>
      <color theme="3"/>
      <name val="方正准圆_GBK"/>
      <family val="4"/>
      <charset val="134"/>
    </font>
    <font>
      <sz val="16"/>
      <color theme="1"/>
      <name val="方正准圆_GBK"/>
      <family val="4"/>
      <charset val="134"/>
    </font>
    <font>
      <b/>
      <sz val="12"/>
      <color theme="3"/>
      <name val="方正准圆_GBK"/>
      <family val="4"/>
      <charset val="134"/>
    </font>
    <font>
      <b/>
      <sz val="11"/>
      <color theme="1"/>
      <name val="宋体"/>
      <family val="3"/>
      <charset val="134"/>
    </font>
    <font>
      <sz val="11"/>
      <color theme="1"/>
      <name val="宋体"/>
      <family val="4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3"/>
      <name val="方正准圆_GBK"/>
      <family val="4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/>
      <top/>
      <bottom/>
      <diagonal/>
    </border>
    <border>
      <left/>
      <right style="double">
        <color theme="4"/>
      </right>
      <top/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 style="double">
        <color theme="4"/>
      </right>
      <top/>
      <bottom style="double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/>
      <bottom/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19" fillId="0" borderId="0"/>
    <xf numFmtId="0" fontId="26" fillId="0" borderId="0"/>
  </cellStyleXfs>
  <cellXfs count="232">
    <xf numFmtId="0" fontId="0" fillId="0" borderId="0" xfId="0"/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0" borderId="1" xfId="1" applyFont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11" fillId="0" borderId="0" xfId="0" applyFont="1" applyAlignment="1">
      <alignment vertical="center"/>
    </xf>
    <xf numFmtId="9" fontId="0" fillId="0" borderId="14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15" fillId="0" borderId="32" xfId="1" applyFont="1" applyBorder="1" applyAlignment="1">
      <alignment horizontal="center" vertical="center"/>
    </xf>
    <xf numFmtId="0" fontId="34" fillId="0" borderId="32" xfId="1" applyFont="1" applyBorder="1" applyAlignment="1">
      <alignment horizontal="center" vertical="center" wrapText="1"/>
    </xf>
    <xf numFmtId="0" fontId="35" fillId="0" borderId="32" xfId="1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9" fontId="0" fillId="0" borderId="24" xfId="0" applyNumberFormat="1" applyBorder="1" applyAlignment="1">
      <alignment horizontal="center" vertical="center" wrapText="1"/>
    </xf>
    <xf numFmtId="0" fontId="15" fillId="0" borderId="0" xfId="1" applyFont="1" applyBorder="1" applyAlignment="1">
      <alignment vertical="center"/>
    </xf>
    <xf numFmtId="0" fontId="40" fillId="0" borderId="0" xfId="0" applyFont="1"/>
    <xf numFmtId="0" fontId="2" fillId="0" borderId="0" xfId="1" applyBorder="1" applyAlignment="1">
      <alignment horizontal="center"/>
    </xf>
    <xf numFmtId="0" fontId="15" fillId="0" borderId="0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4" fillId="0" borderId="0" xfId="1" applyFont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36" fillId="0" borderId="0" xfId="1" applyFont="1" applyBorder="1" applyAlignment="1">
      <alignment horizontal="center" vertical="center"/>
    </xf>
    <xf numFmtId="0" fontId="45" fillId="0" borderId="32" xfId="1" applyFont="1" applyBorder="1" applyAlignment="1">
      <alignment horizontal="center" vertical="center"/>
    </xf>
    <xf numFmtId="0" fontId="16" fillId="0" borderId="1" xfId="1" applyFont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7" fillId="0" borderId="1" xfId="1" applyFont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48" fillId="0" borderId="14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27" fillId="0" borderId="44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0" borderId="46" xfId="0" applyBorder="1" applyAlignment="1">
      <alignment horizontal="center"/>
    </xf>
    <xf numFmtId="0" fontId="44" fillId="0" borderId="48" xfId="0" applyFont="1" applyBorder="1" applyAlignment="1">
      <alignment horizontal="center" vertical="center" wrapText="1"/>
    </xf>
    <xf numFmtId="0" fontId="44" fillId="0" borderId="49" xfId="0" applyFont="1" applyBorder="1" applyAlignment="1">
      <alignment horizontal="center" vertical="center" wrapText="1"/>
    </xf>
    <xf numFmtId="0" fontId="44" fillId="0" borderId="50" xfId="0" applyFont="1" applyBorder="1" applyAlignment="1">
      <alignment horizontal="center" vertical="center" wrapText="1"/>
    </xf>
    <xf numFmtId="0" fontId="15" fillId="0" borderId="1" xfId="1" applyFont="1" applyAlignment="1">
      <alignment horizontal="center"/>
    </xf>
    <xf numFmtId="0" fontId="16" fillId="0" borderId="1" xfId="1" applyFont="1" applyAlignment="1">
      <alignment horizontal="center" vertical="center"/>
    </xf>
    <xf numFmtId="0" fontId="2" fillId="0" borderId="0" xfId="1" applyBorder="1" applyAlignment="1">
      <alignment horizontal="center"/>
    </xf>
    <xf numFmtId="0" fontId="30" fillId="0" borderId="32" xfId="0" applyFont="1" applyBorder="1" applyAlignment="1">
      <alignment horizontal="center" vertical="center" wrapText="1"/>
    </xf>
    <xf numFmtId="0" fontId="33" fillId="6" borderId="32" xfId="6" applyFont="1" applyFill="1" applyBorder="1" applyAlignment="1">
      <alignment horizontal="left" vertical="center"/>
    </xf>
    <xf numFmtId="0" fontId="33" fillId="7" borderId="32" xfId="6" applyFont="1" applyFill="1" applyBorder="1" applyAlignment="1">
      <alignment horizontal="left" vertical="center"/>
    </xf>
    <xf numFmtId="0" fontId="32" fillId="7" borderId="32" xfId="6" applyFont="1" applyFill="1" applyBorder="1" applyAlignment="1">
      <alignment horizontal="left" vertical="center"/>
    </xf>
    <xf numFmtId="0" fontId="33" fillId="8" borderId="32" xfId="6" applyFont="1" applyFill="1" applyBorder="1" applyAlignment="1">
      <alignment horizontal="left" vertical="center"/>
    </xf>
    <xf numFmtId="0" fontId="32" fillId="8" borderId="32" xfId="6" applyFont="1" applyFill="1" applyBorder="1" applyAlignment="1">
      <alignment horizontal="left" vertical="center"/>
    </xf>
    <xf numFmtId="0" fontId="0" fillId="0" borderId="32" xfId="0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6" fillId="0" borderId="32" xfId="1" applyFont="1" applyBorder="1" applyAlignment="1">
      <alignment horizontal="center" vertical="center"/>
    </xf>
    <xf numFmtId="0" fontId="34" fillId="0" borderId="32" xfId="1" applyFont="1" applyBorder="1" applyAlignment="1">
      <alignment horizontal="center" vertical="center"/>
    </xf>
    <xf numFmtId="0" fontId="2" fillId="0" borderId="33" xfId="1" applyBorder="1" applyAlignment="1">
      <alignment horizontal="center"/>
    </xf>
    <xf numFmtId="0" fontId="15" fillId="0" borderId="32" xfId="1" applyFont="1" applyBorder="1" applyAlignment="1">
      <alignment horizontal="center" vertical="center"/>
    </xf>
    <xf numFmtId="0" fontId="34" fillId="0" borderId="32" xfId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 wrapText="1"/>
    </xf>
    <xf numFmtId="0" fontId="47" fillId="0" borderId="2" xfId="1" applyFont="1" applyBorder="1" applyAlignment="1">
      <alignment horizontal="center" vertical="center"/>
    </xf>
    <xf numFmtId="0" fontId="47" fillId="0" borderId="0" xfId="1" applyFont="1" applyBorder="1" applyAlignment="1">
      <alignment horizontal="center" vertical="center"/>
    </xf>
    <xf numFmtId="0" fontId="4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 wrapText="1"/>
    </xf>
    <xf numFmtId="0" fontId="15" fillId="0" borderId="24" xfId="1" applyFont="1" applyBorder="1" applyAlignment="1">
      <alignment horizontal="center" vertical="center"/>
    </xf>
    <xf numFmtId="0" fontId="16" fillId="0" borderId="24" xfId="1" applyFont="1" applyBorder="1" applyAlignment="1">
      <alignment horizontal="center" vertical="center"/>
    </xf>
    <xf numFmtId="0" fontId="47" fillId="0" borderId="2" xfId="1" applyFont="1" applyBorder="1" applyAlignment="1">
      <alignment horizontal="center" vertical="center" wrapText="1"/>
    </xf>
    <xf numFmtId="0" fontId="47" fillId="0" borderId="0" xfId="1" applyFont="1" applyBorder="1" applyAlignment="1">
      <alignment horizontal="center" vertical="center" wrapText="1"/>
    </xf>
    <xf numFmtId="0" fontId="47" fillId="0" borderId="1" xfId="1" applyFont="1" applyAlignment="1">
      <alignment horizontal="center" vertical="center" wrapText="1"/>
    </xf>
    <xf numFmtId="0" fontId="51" fillId="0" borderId="2" xfId="1" applyFont="1" applyBorder="1" applyAlignment="1">
      <alignment horizontal="center" vertical="center" wrapText="1"/>
    </xf>
    <xf numFmtId="0" fontId="51" fillId="0" borderId="0" xfId="1" applyFont="1" applyBorder="1" applyAlignment="1">
      <alignment horizontal="center" vertical="center" wrapText="1"/>
    </xf>
    <xf numFmtId="0" fontId="51" fillId="0" borderId="1" xfId="1" applyFont="1" applyAlignment="1">
      <alignment horizontal="center" vertical="center" wrapText="1"/>
    </xf>
    <xf numFmtId="0" fontId="0" fillId="0" borderId="47" xfId="0" applyBorder="1" applyAlignment="1">
      <alignment horizontal="center"/>
    </xf>
    <xf numFmtId="0" fontId="0" fillId="0" borderId="45" xfId="0" applyBorder="1" applyAlignment="1">
      <alignment horizontal="center"/>
    </xf>
    <xf numFmtId="177" fontId="0" fillId="0" borderId="34" xfId="0" applyNumberFormat="1" applyBorder="1" applyAlignment="1">
      <alignment horizontal="center"/>
    </xf>
    <xf numFmtId="177" fontId="0" fillId="0" borderId="35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4" xfId="0" applyBorder="1" applyAlignment="1">
      <alignment horizontal="center"/>
    </xf>
    <xf numFmtId="177" fontId="0" fillId="0" borderId="36" xfId="0" applyNumberFormat="1" applyBorder="1" applyAlignment="1">
      <alignment horizontal="center"/>
    </xf>
    <xf numFmtId="177" fontId="0" fillId="0" borderId="38" xfId="0" applyNumberFormat="1" applyBorder="1" applyAlignment="1">
      <alignment horizontal="center"/>
    </xf>
    <xf numFmtId="177" fontId="0" fillId="0" borderId="39" xfId="0" applyNumberFormat="1" applyBorder="1" applyAlignment="1">
      <alignment horizontal="center"/>
    </xf>
    <xf numFmtId="177" fontId="0" fillId="0" borderId="37" xfId="0" applyNumberForma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2" xfId="0" applyBorder="1" applyAlignment="1">
      <alignment horizontal="center"/>
    </xf>
    <xf numFmtId="0" fontId="25" fillId="0" borderId="0" xfId="6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9" fillId="0" borderId="26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31" fillId="0" borderId="26" xfId="0" applyFont="1" applyBorder="1" applyAlignment="1">
      <alignment horizontal="center" vertical="center" wrapText="1"/>
    </xf>
    <xf numFmtId="0" fontId="31" fillId="0" borderId="25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27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/>
    </xf>
    <xf numFmtId="0" fontId="46" fillId="0" borderId="29" xfId="0" applyFont="1" applyBorder="1" applyAlignment="1">
      <alignment horizontal="center" vertical="center"/>
    </xf>
    <xf numFmtId="0" fontId="46" fillId="0" borderId="19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176" fontId="0" fillId="0" borderId="29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176" fontId="0" fillId="0" borderId="30" xfId="0" applyNumberFormat="1" applyBorder="1" applyAlignment="1">
      <alignment horizontal="center" vertical="center"/>
    </xf>
    <xf numFmtId="176" fontId="0" fillId="0" borderId="23" xfId="0" applyNumberForma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0" fontId="22" fillId="0" borderId="29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30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48" fillId="0" borderId="27" xfId="0" applyFont="1" applyBorder="1" applyAlignment="1">
      <alignment horizontal="center" vertical="center"/>
    </xf>
    <xf numFmtId="0" fontId="48" fillId="0" borderId="28" xfId="0" applyFont="1" applyBorder="1" applyAlignment="1">
      <alignment horizontal="center" vertical="center"/>
    </xf>
    <xf numFmtId="0" fontId="49" fillId="0" borderId="27" xfId="0" applyFont="1" applyBorder="1" applyAlignment="1">
      <alignment horizontal="center" vertical="center"/>
    </xf>
    <xf numFmtId="0" fontId="49" fillId="0" borderId="28" xfId="0" applyFont="1" applyBorder="1" applyAlignment="1">
      <alignment horizontal="center" vertical="center"/>
    </xf>
    <xf numFmtId="0" fontId="49" fillId="0" borderId="18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 wrapText="1"/>
    </xf>
    <xf numFmtId="0" fontId="49" fillId="0" borderId="22" xfId="0" applyFont="1" applyBorder="1" applyAlignment="1">
      <alignment horizontal="center" vertical="center" wrapText="1"/>
    </xf>
    <xf numFmtId="0" fontId="49" fillId="0" borderId="23" xfId="0" applyFont="1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15" fillId="0" borderId="44" xfId="1" applyFont="1" applyBorder="1" applyAlignment="1">
      <alignment horizontal="center"/>
    </xf>
    <xf numFmtId="0" fontId="16" fillId="0" borderId="44" xfId="1" applyFont="1" applyBorder="1" applyAlignment="1">
      <alignment horizontal="center" vertical="center"/>
    </xf>
    <xf numFmtId="0" fontId="27" fillId="0" borderId="44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EBB1818C-C6E7-446B-A904-50C857D5A175}"/>
    <cellStyle name="差_技能大表_1" xfId="4" xr:uid="{B3D6E702-3416-496B-9185-4C6719D10D9B}"/>
    <cellStyle name="常规" xfId="0" builtinId="0"/>
    <cellStyle name="常规 2" xfId="6" xr:uid="{77B1CA5F-D6FC-4F1B-98DB-0CBE12748365}"/>
    <cellStyle name="常规 3" xfId="7" xr:uid="{5C75CA40-E054-4D00-91B3-786C925C8AB6}"/>
    <cellStyle name="好_技能大表" xfId="3" xr:uid="{E6197626-7867-4B0B-996C-B72A7165CF77}"/>
    <cellStyle name="好_技能大表_1" xfId="5" xr:uid="{7A3A9577-DD15-4C65-A810-4EFE800C86A5}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6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6DF-4792-8B40-8ABE140CEF71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6DF-4792-8B40-8ABE140CEF71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6DF-4792-8B40-8ABE140CEF71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6DF-4792-8B40-8ABE140CEF71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6DF-4792-8B40-8ABE140CEF71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6DF-4792-8B40-8ABE140CEF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DF-4792-8B40-8ABE140CEF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DF-4792-8B40-8ABE140CEF7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DF-4792-8B40-8ABE140CEF7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DF-4792-8B40-8ABE140CEF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DF-4792-8B40-8ABE140CEF7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DF-4792-8B40-8ABE140CEF71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DF-4792-8B40-8ABE140CE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613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C2-4911-B211-ED9CE926B0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C2-4911-B211-ED9CE926B06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C2-4911-B211-ED9CE926B069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C2-4911-B211-ED9CE926B069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4C2-4911-B211-ED9CE926B069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C2-4911-B211-ED9CE926B069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4C2-4911-B211-ED9CE926B069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4C2-4911-B211-ED9CE926B069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4C2-4911-B211-ED9CE926B069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4C2-4911-B211-ED9CE926B06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4C2-4911-B211-ED9CE926B06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4C2-4911-B211-ED9CE926B069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4C2-4911-B211-ED9CE926B069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4C2-4911-B211-ED9CE926B069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4C2-4911-B211-ED9CE926B069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4C2-4911-B211-ED9CE926B069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C48E-4511-92E2-17B9E1DDC27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A07721AF-0F4E-4413-B62C-8C29C495352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F81C0149-8B97-4BB8-90DE-1ED061B748C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C2-4911-B211-ED9CE926B0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E73A75-A377-451F-A9AE-4BE9E9F0B70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F397896E-8230-4982-B10E-04A5D8BE105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C2-4911-B211-ED9CE926B0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1F1DA5-80D6-43A3-BBB8-065D9E4D94D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3DAC4707-00E7-46C9-8CD5-DA3B84FC273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C2-4911-B211-ED9CE926B0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C2-4911-B211-ED9CE926B0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5D65C8-2D99-4A72-A4BC-B2AB8296223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F402A311-EA44-4121-8A18-53E8C362EA3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C2-4911-B211-ED9CE926B0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E6EB42-D994-4973-A127-097F14040BA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9EDAC652-4905-477E-90FB-F22F0166DE4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C2-4911-B211-ED9CE926B0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8E8268-1242-46C1-82D8-452F7420327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C9EC754-3BB6-4650-AFDB-E05C17CE0F5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C2-4911-B211-ED9CE926B0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9003D7-D526-4EE5-9F0A-36DDA3AA0EB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373D3768-E3AC-4D0E-96A2-63EC94D1F5A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C2-4911-B211-ED9CE926B0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6B811F-50FE-45F6-86BD-DC59AA4CF38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E21771B-CAB6-4DE8-A077-DF2BA34F06B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C2-4911-B211-ED9CE926B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C2-4911-B211-ED9CE926B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0FB163-2E6A-4B05-8456-546B7963650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5A968CC0-7523-43AA-A46D-92B2F78C9F6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C2-4911-B211-ED9CE926B0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FD779E-F4BB-448A-BC0F-CAF2AF1DF23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F05E794B-27B7-4521-B70A-59E52B6DE66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C2-4911-B211-ED9CE926B0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3DCB9B-E59E-4424-82D9-7D9D8CCC9E6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75C3A85-64EF-4EE4-AE92-EEA9E4C31F2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C2-4911-B211-ED9CE926B0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A59457-9B6B-49D0-BD32-896FC814812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081827D-3FDC-4E70-97FE-FD83F42D74D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C2-4911-B211-ED9CE926B0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C2-4911-B211-ED9CE926B0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9612AF-9A5D-4C26-830B-1B731363155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DACAD883-3B14-42BC-A4A7-E7900801BEC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C2-4911-B211-ED9CE926B0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76AEFA-E3AD-4DD4-AD50-240C678E6D8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345AF9EA-CD00-48B8-AF5B-08DD2AD626F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C2-4911-B211-ED9CE926B0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20DF64-D493-46D5-A353-D1AB7118524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0C8BA74-F863-4FCA-995E-4914064F4FD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C2-4911-B211-ED9CE926B0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682A76-E96D-4E40-8956-EEB5FA94D8C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D8DEA65-9F15-4FD5-9916-2B1E7E64083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C2-4911-B211-ED9CE926B0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A5B6F85-72D1-42D1-AB1D-C6CE500720B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751A0631-AEC2-4460-B8B3-205CD484B0C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C2-4911-B211-ED9CE926B0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F72999-26D9-430E-A7C1-0D0818AD8AA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9C048B7-F116-4480-8E88-C2649FBCB17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C2-4911-B211-ED9CE926B0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C2-4911-B211-ED9CE926B0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996E2C-794F-4C46-B959-4CA41CDB1C8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FD36D4E-15D7-4680-AD9F-6705E03EB64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C2-4911-B211-ED9CE926B0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393BC0-29C4-49CF-8FF3-9CC7307D70F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FACE0E09-3543-4279-A8F2-F040585804F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8E-4511-92E2-17B9E1DDC2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CD6196-F754-408D-A73A-DA708EBCD35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628C4F1-F9BC-408C-AED7-D682995A33E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8E-4511-92E2-17B9E1DDC2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8E-4511-92E2-17B9E1DDC2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C9EE624-CF0C-4787-966B-AE712405777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7B4F906-F6A1-4644-8CC0-17B4CBDC23F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8E-4511-92E2-17B9E1DDC2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E7B88B-B063-4090-B34C-157756C49EE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DF3D5264-598F-466C-AB16-8B0718E3C35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8E-4511-92E2-17B9E1DDC2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A4C2-4911-B211-ED9CE926B069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4C2-4911-B211-ED9CE926B069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2-A2C3-4372-B14D-182460677EE5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3-A2C3-4372-B14D-182460677EE5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C3-4372-B14D-182460677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26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0E-4921-9865-EB3FC9D8537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0E-4921-9865-EB3FC9D8537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0E-4921-9865-EB3FC9D8537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F00E-4921-9865-EB3FC9D8537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00E-4921-9865-EB3FC9D8537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00E-4921-9865-EB3FC9D8537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4A8-4AF9-A56B-ECE688B47A0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4A8-4AF9-A56B-ECE688B47A0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6B52275-BE8D-40C3-A1EA-66F8161AE4D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5860B4AE-EA3C-44AD-A0EB-3DE7FB961E9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0E-4921-9865-EB3FC9D853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13558E-1F6B-4AEF-A8A2-9E9CDE6DC54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55DF026-C0E4-4FF0-8173-4FF9B7F1798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0E-4921-9865-EB3FC9D853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627895-3861-4C03-BC66-76C5B7FFC3E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5FA1065-2B86-4A1D-9E31-91A910642E2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0E-4921-9865-EB3FC9D853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F030FC-F832-4917-A04F-760F7E49353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01694B8-8B10-4D1A-96DE-866807B08CD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0E-4921-9865-EB3FC9D853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8AC92A-F069-4A79-98E8-46C084916F3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7E54031E-98CA-4D8A-AEAA-C7637B75317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0E-4921-9865-EB3FC9D853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0E-4921-9865-EB3FC9D853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700111-3467-4D03-9379-54123A2D8C7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BD80FDB3-BD6F-448F-A970-3F8974774ED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0E-4921-9865-EB3FC9D853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A062E5-D9ED-4765-8066-3F4668423C2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97E57B5-F4BC-417C-B1DA-C552FA8FA54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0E-4921-9865-EB3FC9D853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DD8DDD-8398-47F1-B57A-548053CA969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C5FDC157-14C1-4E28-A621-96C995F84EB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0E-4921-9865-EB3FC9D853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74DC75-97CD-4B61-BF3B-0A273965C2A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8AAA53BC-8804-47E7-8B1B-682213FF049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0E-4921-9865-EB3FC9D853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0E-4921-9865-EB3FC9D853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C5B3C5-E64E-4225-8CC8-E870D7B64B9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D574F1CB-9296-458B-A32E-8AA880E14E4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0E-4921-9865-EB3FC9D853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406EC5-8C08-4904-B577-009B9435829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55E9EE3-8226-4B1B-B027-CF783C28572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0E-4921-9865-EB3FC9D853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86C94C-791D-4166-B6DF-C1619D913DD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FBA1E1E-DF07-48EE-B5CA-49ED6BDFE81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0E-4921-9865-EB3FC9D853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7B50B9-2B64-4370-A07C-CFEAC1AC626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4FC2E56-8DDC-40A1-B6BF-38B361A2B96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0E-4921-9865-EB3FC9D853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978569-2148-4D74-8D77-0578691C94A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7F2E3A7-A9E4-4A39-87F1-1F0DC6655B1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0E-4921-9865-EB3FC9D853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0E-4921-9865-EB3FC9D853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1A85CC-411B-4CAA-B069-D98B7F2681D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8148CA9-50FD-45B6-95BD-E5797FBD6B1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0E-4921-9865-EB3FC9D853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23D3AC-C1B9-4CAD-A6F3-8EB50B3D171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205BF4C2-CE9A-405E-88DF-E8CEF664999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0E-4921-9865-EB3FC9D853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4D7E4B6-BF39-4B63-ABC1-27853E6A7E4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2212C20C-F005-4455-BE83-BC4AD4B04B2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0E-4921-9865-EB3FC9D853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6522D2-D87A-45D5-B774-EDE574CA793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898A276A-72E6-4AAB-88B4-4159D953BF6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0E-4921-9865-EB3FC9D853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A8-4AF9-A56B-ECE688B47A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0D0455-64EA-4536-A665-31475A502E2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8ABC8B9-32F9-49BA-9F46-0D7182AC28F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A8-4AF9-A56B-ECE688B47A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FCB96CD-D4E2-4F16-B41B-78FD79AD87A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CADE1B52-2FAB-490B-8E65-301E0DE9DB2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A8-4AF9-A56B-ECE688B47A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093C71-9278-436E-883D-9432F6B8493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0E1A8FD-85D6-465A-BA43-B124A2F504F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A8-4AF9-A56B-ECE688B47A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F00E-4921-9865-EB3FC9D8537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00E-4921-9865-EB3FC9D8537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0-B52C-48F9-8CEA-1E15616F379F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1-B52C-48F9-8CEA-1E15616F379F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52C-48F9-8CEA-1E15616F3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D50-434F-AB5E-AB553AAFB991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D50-434F-AB5E-AB553AAFB99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D50-434F-AB5E-AB553AAFB9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F0C8D97-A07F-4E53-AC81-284FA1258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1C1D1E1-238E-45B8-AEAA-742EE709B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210516-4927-41ED-BE93-744A65BF8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D864DD2D-90CE-4C02-8E4A-8E1C6E924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D64FC0A3-3419-4817-9F90-AE5052482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788F2-2C93-4F1A-9EB2-E60585D909B5}">
  <dimension ref="A1"/>
  <sheetViews>
    <sheetView workbookViewId="0">
      <selection activeCell="L52" sqref="L52"/>
    </sheetView>
  </sheetViews>
  <sheetFormatPr defaultRowHeight="13.8" x14ac:dyDescent="0.2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39"/>
  <sheetViews>
    <sheetView tabSelected="1" zoomScaleNormal="100" workbookViewId="0">
      <selection sqref="A1:D1"/>
    </sheetView>
  </sheetViews>
  <sheetFormatPr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thickTop="1" thickBot="1" x14ac:dyDescent="0.4">
      <c r="A1" s="67" t="s">
        <v>0</v>
      </c>
      <c r="B1" s="67"/>
      <c r="C1" s="67"/>
      <c r="D1" s="67"/>
      <c r="F1" s="69" t="s">
        <v>11</v>
      </c>
      <c r="G1" s="69"/>
      <c r="H1" s="69"/>
      <c r="I1" s="69"/>
      <c r="J1" s="69"/>
      <c r="K1" s="69"/>
      <c r="M1" s="71" t="s">
        <v>176</v>
      </c>
      <c r="N1" s="71"/>
      <c r="O1" s="71"/>
      <c r="P1" s="71"/>
      <c r="Q1" s="71"/>
      <c r="R1" s="76"/>
      <c r="S1" s="76"/>
      <c r="T1" s="76"/>
      <c r="U1" s="76"/>
      <c r="V1" s="43"/>
      <c r="X1" s="115"/>
      <c r="Y1" s="112"/>
      <c r="Z1" s="111" t="s">
        <v>294</v>
      </c>
      <c r="AA1" s="112"/>
      <c r="AB1" s="111" t="s">
        <v>289</v>
      </c>
      <c r="AC1" s="112"/>
      <c r="AD1" s="111" t="s">
        <v>290</v>
      </c>
      <c r="AE1" s="112"/>
      <c r="AF1" s="111" t="s">
        <v>291</v>
      </c>
      <c r="AG1" s="112"/>
      <c r="AH1" s="111" t="s">
        <v>297</v>
      </c>
      <c r="AI1" s="112"/>
      <c r="AJ1" s="111" t="s">
        <v>298</v>
      </c>
      <c r="AK1" s="118"/>
    </row>
    <row r="2" spans="1:39" ht="20.399999999999999" customHeight="1" thickTop="1" thickBot="1" x14ac:dyDescent="0.3">
      <c r="A2" s="24" t="s">
        <v>1</v>
      </c>
      <c r="B2" s="68" t="s">
        <v>339</v>
      </c>
      <c r="C2" s="68"/>
      <c r="D2" s="68"/>
      <c r="F2" s="77" t="s">
        <v>12</v>
      </c>
      <c r="G2" s="1" t="s">
        <v>34</v>
      </c>
      <c r="H2" s="1" t="s">
        <v>35</v>
      </c>
      <c r="I2" s="1" t="s">
        <v>175</v>
      </c>
      <c r="J2" s="1" t="s">
        <v>9</v>
      </c>
      <c r="K2" s="2" t="s">
        <v>10</v>
      </c>
      <c r="M2" s="70" t="s">
        <v>19</v>
      </c>
      <c r="N2" s="70"/>
      <c r="O2" s="70"/>
      <c r="P2" s="70" t="s">
        <v>20</v>
      </c>
      <c r="Q2" s="70"/>
      <c r="R2" s="70"/>
      <c r="S2" s="70" t="s">
        <v>21</v>
      </c>
      <c r="T2" s="70"/>
      <c r="U2" s="70"/>
      <c r="V2" s="45"/>
      <c r="X2" s="115" t="s">
        <v>293</v>
      </c>
      <c r="Y2" s="112"/>
      <c r="Z2" s="111">
        <v>51</v>
      </c>
      <c r="AA2" s="112"/>
      <c r="AB2" s="111">
        <f>SUMIFS(Z11:AA90,AH11:AI90,AH10)</f>
        <v>30</v>
      </c>
      <c r="AC2" s="112"/>
      <c r="AD2" s="111">
        <f>SUMIFS(AB11:AC90,AH11:AI90,AH10)</f>
        <v>2</v>
      </c>
      <c r="AE2" s="112"/>
      <c r="AF2" s="111">
        <f>SUMIFS(AD11:AE90,AH11:AI90,AH10)</f>
        <v>-30</v>
      </c>
      <c r="AG2" s="112"/>
      <c r="AH2" s="111">
        <f>SUMIFS(AF11:AG90,AH11:AI90,AH10)</f>
        <v>0.5</v>
      </c>
      <c r="AI2" s="112"/>
      <c r="AJ2" s="111">
        <v>0</v>
      </c>
      <c r="AK2" s="118"/>
      <c r="AL2" s="113"/>
      <c r="AM2" s="113"/>
    </row>
    <row r="3" spans="1:39" ht="20.399999999999999" customHeight="1" thickTop="1" thickBot="1" x14ac:dyDescent="0.3">
      <c r="A3" s="24" t="s">
        <v>138</v>
      </c>
      <c r="B3" s="68" t="s">
        <v>340</v>
      </c>
      <c r="C3" s="68"/>
      <c r="D3" s="68"/>
      <c r="F3" s="78"/>
      <c r="G3" s="21">
        <v>50</v>
      </c>
      <c r="H3" s="21" cm="1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21"/>
      <c r="J3" s="21"/>
      <c r="K3" s="22">
        <f ca="1">SUM(G3:J3)</f>
        <v>50</v>
      </c>
      <c r="M3" s="32">
        <v>55</v>
      </c>
      <c r="N3" s="32" t="s">
        <v>18</v>
      </c>
      <c r="O3" s="32" cm="1">
        <f t="array" aca="1" ref="O3" ca="1">K7+INDIRECT("经历点数与履历"&amp;"!E3")</f>
        <v>55</v>
      </c>
      <c r="P3" s="32">
        <v>0</v>
      </c>
      <c r="Q3" s="32" t="s">
        <v>18</v>
      </c>
      <c r="R3" s="32">
        <v>0</v>
      </c>
      <c r="S3" s="32">
        <f>M3+P3</f>
        <v>55</v>
      </c>
      <c r="T3" s="32" t="s">
        <v>18</v>
      </c>
      <c r="U3" s="32">
        <f ca="1">O3+R3</f>
        <v>55</v>
      </c>
      <c r="V3" s="44"/>
      <c r="X3" s="116" t="s">
        <v>295</v>
      </c>
      <c r="Y3" s="117"/>
      <c r="Z3" s="119" t="s">
        <v>299</v>
      </c>
      <c r="AA3" s="120"/>
      <c r="AB3" s="120"/>
      <c r="AC3" s="120"/>
      <c r="AD3" s="120"/>
      <c r="AE3" s="121"/>
      <c r="AF3" s="119" t="s">
        <v>300</v>
      </c>
      <c r="AG3" s="120"/>
      <c r="AH3" s="120"/>
      <c r="AI3" s="120"/>
      <c r="AJ3" s="120"/>
      <c r="AK3" s="122"/>
      <c r="AL3" s="113"/>
      <c r="AM3" s="113"/>
    </row>
    <row r="4" spans="1:39" ht="20.399999999999999" customHeight="1" thickTop="1" thickBot="1" x14ac:dyDescent="0.3">
      <c r="A4" s="24" t="s">
        <v>49</v>
      </c>
      <c r="B4" s="50" t="s">
        <v>137</v>
      </c>
      <c r="C4" s="24" t="s">
        <v>2</v>
      </c>
      <c r="D4" s="50" t="s">
        <v>341</v>
      </c>
      <c r="F4" s="79" t="s">
        <v>13</v>
      </c>
      <c r="G4" s="3" t="s">
        <v>34</v>
      </c>
      <c r="H4" s="3" t="s">
        <v>35</v>
      </c>
      <c r="I4" s="3" t="s">
        <v>175</v>
      </c>
      <c r="J4" s="3" t="s">
        <v>9</v>
      </c>
      <c r="K4" s="4" t="s">
        <v>10</v>
      </c>
      <c r="M4" s="72" t="s">
        <v>22</v>
      </c>
      <c r="N4" s="73"/>
      <c r="O4" s="73"/>
      <c r="P4" s="73"/>
      <c r="Q4" s="73"/>
      <c r="R4" s="76"/>
      <c r="S4" s="76"/>
      <c r="T4" s="76"/>
      <c r="U4" s="76"/>
      <c r="V4" s="43"/>
      <c r="AJ4" s="113"/>
      <c r="AK4" s="113"/>
    </row>
    <row r="5" spans="1:39" ht="20.399999999999999" customHeight="1" thickTop="1" thickBot="1" x14ac:dyDescent="0.3">
      <c r="A5" s="24" t="s">
        <v>140</v>
      </c>
      <c r="B5" s="50">
        <v>387</v>
      </c>
      <c r="C5" s="24" t="s">
        <v>139</v>
      </c>
      <c r="D5" s="50" t="s">
        <v>342</v>
      </c>
      <c r="F5" s="80"/>
      <c r="G5" s="5">
        <v>50</v>
      </c>
      <c r="H5" s="5" cm="1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5"/>
      <c r="J5" s="5"/>
      <c r="K5" s="6">
        <f ca="1">SUM(G5:J5)</f>
        <v>50</v>
      </c>
      <c r="M5" s="70" t="s">
        <v>19</v>
      </c>
      <c r="N5" s="70"/>
      <c r="O5" s="70"/>
      <c r="P5" s="70" t="s">
        <v>20</v>
      </c>
      <c r="Q5" s="70"/>
      <c r="R5" s="70"/>
      <c r="S5" s="70" t="s">
        <v>21</v>
      </c>
      <c r="T5" s="70"/>
      <c r="U5" s="70"/>
      <c r="V5" s="45"/>
      <c r="AJ5" s="113"/>
      <c r="AK5" s="113"/>
    </row>
    <row r="6" spans="1:39" ht="20.399999999999999" customHeight="1" thickTop="1" thickBot="1" x14ac:dyDescent="0.3">
      <c r="A6" s="24" t="s">
        <v>141</v>
      </c>
      <c r="B6" s="50" t="s">
        <v>343</v>
      </c>
      <c r="C6" s="24" t="s">
        <v>4</v>
      </c>
      <c r="D6" s="50" t="s">
        <v>344</v>
      </c>
      <c r="F6" s="81" t="s">
        <v>14</v>
      </c>
      <c r="G6" s="7" t="s">
        <v>34</v>
      </c>
      <c r="H6" s="7" t="s">
        <v>35</v>
      </c>
      <c r="I6" s="7" t="s">
        <v>175</v>
      </c>
      <c r="J6" s="7" t="s">
        <v>9</v>
      </c>
      <c r="K6" s="8" t="s">
        <v>10</v>
      </c>
      <c r="M6" s="32">
        <v>30</v>
      </c>
      <c r="N6" s="32" t="s">
        <v>18</v>
      </c>
      <c r="O6" s="32">
        <f ca="1">K13</f>
        <v>30</v>
      </c>
      <c r="P6" s="32">
        <v>0</v>
      </c>
      <c r="Q6" s="32" t="s">
        <v>18</v>
      </c>
      <c r="R6" s="32">
        <v>0</v>
      </c>
      <c r="S6" s="32">
        <f>M6+P6</f>
        <v>30</v>
      </c>
      <c r="T6" s="32" t="s">
        <v>18</v>
      </c>
      <c r="U6" s="32">
        <f ca="1">O6+R6</f>
        <v>30</v>
      </c>
      <c r="V6" s="44"/>
      <c r="AJ6" s="113"/>
      <c r="AK6" s="113"/>
    </row>
    <row r="7" spans="1:39" ht="20.399999999999999" customHeight="1" thickTop="1" thickBot="1" x14ac:dyDescent="0.3">
      <c r="A7" s="24" t="s">
        <v>3</v>
      </c>
      <c r="B7" s="68" t="s">
        <v>345</v>
      </c>
      <c r="C7" s="68"/>
      <c r="D7" s="68"/>
      <c r="F7" s="82"/>
      <c r="G7" s="9">
        <v>40</v>
      </c>
      <c r="H7" s="9" cm="1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9"/>
      <c r="J7" s="9"/>
      <c r="K7" s="10">
        <f ca="1">SUM(G7:J7)</f>
        <v>40</v>
      </c>
      <c r="M7" s="74" t="s">
        <v>177</v>
      </c>
      <c r="N7" s="75"/>
      <c r="O7" s="75"/>
      <c r="P7" s="75"/>
      <c r="Q7" s="75"/>
      <c r="R7" s="76"/>
      <c r="S7" s="76"/>
      <c r="T7" s="76"/>
      <c r="U7" s="76"/>
      <c r="V7" s="43"/>
      <c r="AJ7" s="113"/>
      <c r="AK7" s="113"/>
    </row>
    <row r="8" spans="1:39" ht="20.399999999999999" customHeight="1" thickTop="1" thickBot="1" x14ac:dyDescent="0.3">
      <c r="A8" s="24" t="s">
        <v>5</v>
      </c>
      <c r="B8" s="68" t="s">
        <v>346</v>
      </c>
      <c r="C8" s="68"/>
      <c r="D8" s="68"/>
      <c r="F8" s="91" t="s">
        <v>15</v>
      </c>
      <c r="G8" s="11" t="s">
        <v>34</v>
      </c>
      <c r="H8" s="11" t="s">
        <v>35</v>
      </c>
      <c r="I8" s="11" t="s">
        <v>175</v>
      </c>
      <c r="J8" s="11" t="s">
        <v>9</v>
      </c>
      <c r="K8" s="12" t="s">
        <v>10</v>
      </c>
      <c r="M8" s="70" t="s">
        <v>19</v>
      </c>
      <c r="N8" s="70"/>
      <c r="O8" s="70"/>
      <c r="P8" s="70" t="s">
        <v>178</v>
      </c>
      <c r="Q8" s="70"/>
      <c r="R8" s="70"/>
      <c r="S8" s="70" t="s">
        <v>21</v>
      </c>
      <c r="T8" s="70"/>
      <c r="U8" s="70"/>
      <c r="V8" s="45"/>
      <c r="X8" s="62" t="s">
        <v>296</v>
      </c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0"/>
    </row>
    <row r="9" spans="1:39" ht="20.399999999999999" customHeight="1" thickTop="1" thickBot="1" x14ac:dyDescent="0.3">
      <c r="A9" s="95" t="s">
        <v>33</v>
      </c>
      <c r="B9" s="98" t="s">
        <v>347</v>
      </c>
      <c r="C9" s="98"/>
      <c r="D9" s="98"/>
      <c r="F9" s="92"/>
      <c r="G9" s="13">
        <v>30</v>
      </c>
      <c r="H9" s="13" cm="1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13"/>
      <c r="J9" s="13"/>
      <c r="K9" s="14">
        <f ca="1">SUM(G9:J9)</f>
        <v>30</v>
      </c>
      <c r="M9" s="32">
        <v>6</v>
      </c>
      <c r="N9" s="32" t="s">
        <v>18</v>
      </c>
      <c r="O9" s="32">
        <v>6</v>
      </c>
      <c r="P9" s="32">
        <v>5</v>
      </c>
      <c r="Q9" s="32" t="s">
        <v>18</v>
      </c>
      <c r="R9" s="32">
        <f ca="1">INT(K5/10)</f>
        <v>5</v>
      </c>
      <c r="S9" s="32">
        <f>M9+P9</f>
        <v>11</v>
      </c>
      <c r="T9" s="32" t="s">
        <v>18</v>
      </c>
      <c r="U9" s="32">
        <f ca="1">O9+R9</f>
        <v>11</v>
      </c>
      <c r="V9" s="44"/>
      <c r="X9" s="62"/>
      <c r="Y9" s="63"/>
      <c r="Z9" s="109" t="s">
        <v>281</v>
      </c>
      <c r="AA9" s="63"/>
      <c r="AB9" s="109" t="s">
        <v>282</v>
      </c>
      <c r="AC9" s="63"/>
      <c r="AD9" s="109" t="s">
        <v>283</v>
      </c>
      <c r="AE9" s="63"/>
      <c r="AF9" s="109" t="s">
        <v>284</v>
      </c>
      <c r="AG9" s="63"/>
      <c r="AH9" s="109" t="s">
        <v>292</v>
      </c>
      <c r="AI9" s="110"/>
    </row>
    <row r="10" spans="1:39" ht="20.399999999999999" customHeight="1" thickTop="1" thickBot="1" x14ac:dyDescent="0.3">
      <c r="A10" s="96"/>
      <c r="B10" s="99"/>
      <c r="C10" s="99"/>
      <c r="D10" s="99"/>
      <c r="F10" s="88" t="s">
        <v>16</v>
      </c>
      <c r="G10" s="17" t="s">
        <v>34</v>
      </c>
      <c r="H10" s="17" t="s">
        <v>35</v>
      </c>
      <c r="I10" s="17" t="s">
        <v>175</v>
      </c>
      <c r="J10" s="17" t="s">
        <v>9</v>
      </c>
      <c r="K10" s="18" t="s">
        <v>10</v>
      </c>
      <c r="X10" s="62" t="s">
        <v>285</v>
      </c>
      <c r="Y10" s="63"/>
      <c r="Z10" s="109">
        <v>0</v>
      </c>
      <c r="AA10" s="63"/>
      <c r="AB10" s="109">
        <v>0</v>
      </c>
      <c r="AC10" s="63"/>
      <c r="AD10" s="109">
        <v>0</v>
      </c>
      <c r="AE10" s="63"/>
      <c r="AF10" s="109">
        <v>0</v>
      </c>
      <c r="AG10" s="63"/>
      <c r="AH10" s="109" t="s">
        <v>153</v>
      </c>
      <c r="AI10" s="110"/>
    </row>
    <row r="11" spans="1:39" ht="20.399999999999999" customHeight="1" thickTop="1" thickBot="1" x14ac:dyDescent="0.4">
      <c r="A11" s="96"/>
      <c r="B11" s="99"/>
      <c r="C11" s="99"/>
      <c r="D11" s="99"/>
      <c r="F11" s="89"/>
      <c r="G11" s="19">
        <v>40</v>
      </c>
      <c r="H11" s="19" cm="1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19"/>
      <c r="J11" s="19"/>
      <c r="K11" s="20">
        <f ca="1">SUM(G11:J11)</f>
        <v>40</v>
      </c>
      <c r="M11" s="85" t="s">
        <v>179</v>
      </c>
      <c r="N11" s="85"/>
      <c r="O11" s="85"/>
      <c r="P11" s="85"/>
      <c r="Q11" s="85"/>
      <c r="R11" s="85"/>
      <c r="S11" s="85"/>
      <c r="T11" s="85"/>
      <c r="U11" s="85"/>
      <c r="V11" s="41"/>
      <c r="W11" s="64" t="s">
        <v>143</v>
      </c>
      <c r="X11" s="62" t="s">
        <v>199</v>
      </c>
      <c r="Y11" s="63"/>
      <c r="Z11" s="109"/>
      <c r="AA11" s="63"/>
      <c r="AB11" s="109"/>
      <c r="AC11" s="63"/>
      <c r="AD11" s="109"/>
      <c r="AE11" s="63"/>
      <c r="AF11" s="109"/>
      <c r="AG11" s="63"/>
      <c r="AH11" s="109"/>
      <c r="AI11" s="110"/>
    </row>
    <row r="12" spans="1:39" ht="20.399999999999999" customHeight="1" thickTop="1" thickBot="1" x14ac:dyDescent="0.3">
      <c r="A12" s="97"/>
      <c r="B12" s="100"/>
      <c r="C12" s="100"/>
      <c r="D12" s="100"/>
      <c r="F12" s="90" t="s">
        <v>17</v>
      </c>
      <c r="G12" s="15" t="s">
        <v>63</v>
      </c>
      <c r="H12" s="15" t="s">
        <v>35</v>
      </c>
      <c r="I12" s="15" t="s">
        <v>175</v>
      </c>
      <c r="J12" s="15" t="s">
        <v>9</v>
      </c>
      <c r="K12" s="16" t="s">
        <v>10</v>
      </c>
      <c r="M12" s="86" t="s">
        <v>180</v>
      </c>
      <c r="N12" s="86"/>
      <c r="O12" s="86"/>
      <c r="P12" s="87" t="s">
        <v>311</v>
      </c>
      <c r="Q12" s="87"/>
      <c r="R12" s="87"/>
      <c r="S12" s="86" t="s">
        <v>23</v>
      </c>
      <c r="T12" s="86"/>
      <c r="U12" s="34" cm="1">
        <f t="array" aca="1" ref="U12" ca="1">IF(P12=INDIRECT("武器"&amp;"!G3"),INDIRECT("武器"&amp;"!G5"),INDIRECT("武器"&amp;"!G12"))</f>
        <v>8</v>
      </c>
      <c r="V12" s="46"/>
      <c r="W12" s="65"/>
      <c r="X12" s="62" t="s">
        <v>200</v>
      </c>
      <c r="Y12" s="63"/>
      <c r="Z12" s="109"/>
      <c r="AA12" s="63"/>
      <c r="AB12" s="109"/>
      <c r="AC12" s="63"/>
      <c r="AD12" s="109"/>
      <c r="AE12" s="63"/>
      <c r="AF12" s="109"/>
      <c r="AG12" s="63"/>
      <c r="AH12" s="109"/>
      <c r="AI12" s="110"/>
    </row>
    <row r="13" spans="1:39" ht="20.399999999999999" customHeight="1" thickTop="1" thickBot="1" x14ac:dyDescent="0.4">
      <c r="A13" s="67" t="s">
        <v>187</v>
      </c>
      <c r="B13" s="67"/>
      <c r="C13" s="67"/>
      <c r="D13" s="67"/>
      <c r="F13" s="90"/>
      <c r="G13" s="15">
        <v>30</v>
      </c>
      <c r="H13" s="15" cm="1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15"/>
      <c r="J13" s="15"/>
      <c r="K13" s="16">
        <f ca="1">SUM(G13:J13)</f>
        <v>30</v>
      </c>
      <c r="M13" s="86" t="s">
        <v>183</v>
      </c>
      <c r="N13" s="86"/>
      <c r="O13" s="86"/>
      <c r="P13" s="86" t="s">
        <v>184</v>
      </c>
      <c r="Q13" s="86"/>
      <c r="R13" s="86"/>
      <c r="S13" s="86" t="s">
        <v>185</v>
      </c>
      <c r="T13" s="86"/>
      <c r="U13" s="86"/>
      <c r="V13" s="42"/>
      <c r="W13" s="65"/>
      <c r="X13" s="62" t="s">
        <v>287</v>
      </c>
      <c r="Y13" s="63"/>
      <c r="Z13" s="109">
        <v>15</v>
      </c>
      <c r="AA13" s="63"/>
      <c r="AB13" s="109">
        <v>1</v>
      </c>
      <c r="AC13" s="63"/>
      <c r="AD13" s="109">
        <v>-15</v>
      </c>
      <c r="AE13" s="63"/>
      <c r="AF13" s="109">
        <v>0</v>
      </c>
      <c r="AG13" s="63"/>
      <c r="AH13" s="109" t="s">
        <v>153</v>
      </c>
      <c r="AI13" s="110"/>
    </row>
    <row r="14" spans="1:39" ht="20.399999999999999" customHeight="1" thickTop="1" thickBot="1" x14ac:dyDescent="0.3">
      <c r="A14" s="24" t="s">
        <v>188</v>
      </c>
      <c r="B14" s="24" t="s">
        <v>189</v>
      </c>
      <c r="C14" s="101" t="s">
        <v>190</v>
      </c>
      <c r="D14" s="101"/>
      <c r="M14" s="33" t="s">
        <v>181</v>
      </c>
      <c r="N14" s="84" t="str">
        <f ca="1">IF(P12=INDIRECT("武器"&amp;"!G3"),INDIRECT("武器"&amp;"!J3"),INDIRECT("武器"&amp;"!J10"))</f>
        <v>长柄刀</v>
      </c>
      <c r="O14" s="84"/>
      <c r="P14" s="33" t="s">
        <v>181</v>
      </c>
      <c r="Q14" s="84" t="s">
        <v>75</v>
      </c>
      <c r="R14" s="84"/>
      <c r="S14" s="33" t="s">
        <v>181</v>
      </c>
      <c r="T14" s="84" t="s">
        <v>80</v>
      </c>
      <c r="U14" s="84"/>
      <c r="V14" s="47"/>
      <c r="W14" s="65"/>
      <c r="X14" s="62" t="s">
        <v>288</v>
      </c>
      <c r="Y14" s="63"/>
      <c r="Z14" s="109"/>
      <c r="AA14" s="63"/>
      <c r="AB14" s="109"/>
      <c r="AC14" s="63"/>
      <c r="AD14" s="109"/>
      <c r="AE14" s="63"/>
      <c r="AF14" s="109"/>
      <c r="AG14" s="63"/>
      <c r="AH14" s="109"/>
      <c r="AI14" s="110"/>
    </row>
    <row r="15" spans="1:39" ht="20.399999999999999" customHeight="1" thickTop="1" thickBot="1" x14ac:dyDescent="0.4">
      <c r="A15" s="50" t="s">
        <v>74</v>
      </c>
      <c r="B15" s="50" t="s">
        <v>87</v>
      </c>
      <c r="C15" s="102">
        <f ca="1">VLOOKUP(B15,INDIRECT("各种技能"&amp;"!A5:G32"),7,FALSE)</f>
        <v>64</v>
      </c>
      <c r="D15" s="102"/>
      <c r="F15" s="67" t="s">
        <v>193</v>
      </c>
      <c r="G15" s="67"/>
      <c r="H15" s="67"/>
      <c r="I15" s="67"/>
      <c r="J15" s="67"/>
      <c r="K15" s="67"/>
      <c r="M15" s="35" t="s">
        <v>72</v>
      </c>
      <c r="N15" s="83">
        <f ca="1">VLOOKUP(N14,INDIRECT("各种技能"&amp;"!L5:R32"),7,FALSE)</f>
        <v>50.7</v>
      </c>
      <c r="O15" s="83"/>
      <c r="P15" s="35" t="s">
        <v>72</v>
      </c>
      <c r="Q15" s="83">
        <f ca="1">VLOOKUP(Q14,INDIRECT("各种技能"&amp;"!A5:J32"),7,FALSE)</f>
        <v>50.7</v>
      </c>
      <c r="R15" s="83"/>
      <c r="S15" s="35" t="s">
        <v>72</v>
      </c>
      <c r="T15" s="83">
        <f ca="1">VLOOKUP(T14,INDIRECT("各种技能"&amp;"!A5:J32"),7,FALSE)</f>
        <v>50.7</v>
      </c>
      <c r="U15" s="83"/>
      <c r="V15" s="48"/>
      <c r="W15" s="65"/>
      <c r="X15" s="62" t="s">
        <v>202</v>
      </c>
      <c r="Y15" s="63"/>
      <c r="Z15" s="109"/>
      <c r="AA15" s="63"/>
      <c r="AB15" s="109"/>
      <c r="AC15" s="63"/>
      <c r="AD15" s="109"/>
      <c r="AE15" s="63"/>
      <c r="AF15" s="109"/>
      <c r="AG15" s="63"/>
      <c r="AH15" s="109"/>
      <c r="AI15" s="110"/>
    </row>
    <row r="16" spans="1:39" ht="20.399999999999999" customHeight="1" thickTop="1" thickBot="1" x14ac:dyDescent="0.3">
      <c r="A16" s="50" t="s">
        <v>191</v>
      </c>
      <c r="B16" s="50" t="s">
        <v>159</v>
      </c>
      <c r="C16" s="102">
        <f ca="1">VLOOKUP(B16,INDIRECT("各种技能"&amp;"!L5:R32"),7,FALSE)</f>
        <v>50.7</v>
      </c>
      <c r="D16" s="102"/>
      <c r="F16" s="36" t="s">
        <v>194</v>
      </c>
      <c r="G16" s="36" t="s">
        <v>195</v>
      </c>
      <c r="H16" s="36" t="s">
        <v>128</v>
      </c>
      <c r="I16" s="36" t="s">
        <v>196</v>
      </c>
      <c r="J16" s="36" t="s">
        <v>18</v>
      </c>
      <c r="K16" s="36" t="s">
        <v>197</v>
      </c>
      <c r="M16" s="49" t="s">
        <v>182</v>
      </c>
      <c r="N16" s="84"/>
      <c r="O16" s="84"/>
      <c r="P16" s="49" t="s">
        <v>182</v>
      </c>
      <c r="Q16" s="84"/>
      <c r="R16" s="84"/>
      <c r="S16" s="49" t="s">
        <v>182</v>
      </c>
      <c r="T16" s="84"/>
      <c r="U16" s="84"/>
      <c r="V16" s="47"/>
      <c r="W16" s="65"/>
      <c r="X16" s="62" t="s">
        <v>286</v>
      </c>
      <c r="Y16" s="63"/>
      <c r="Z16" s="109">
        <v>15</v>
      </c>
      <c r="AA16" s="63"/>
      <c r="AB16" s="109">
        <v>1</v>
      </c>
      <c r="AC16" s="63"/>
      <c r="AD16" s="109">
        <v>-15</v>
      </c>
      <c r="AE16" s="63"/>
      <c r="AF16" s="109">
        <v>0.5</v>
      </c>
      <c r="AG16" s="63"/>
      <c r="AH16" s="109" t="s">
        <v>153</v>
      </c>
      <c r="AI16" s="110"/>
    </row>
    <row r="17" spans="1:35" ht="20.399999999999999" customHeight="1" thickTop="1" thickBot="1" x14ac:dyDescent="0.3">
      <c r="A17" s="54" t="s">
        <v>367</v>
      </c>
      <c r="B17" s="101" t="s">
        <v>255</v>
      </c>
      <c r="C17" s="101"/>
      <c r="D17" s="101"/>
      <c r="F17" s="37" t="s">
        <v>26</v>
      </c>
      <c r="G17" s="37" cm="1">
        <f t="array" aca="1" ref="G17" ca="1">INDIRECT("防具"&amp;"!E4")</f>
        <v>1</v>
      </c>
      <c r="H17" s="38" cm="1">
        <f t="array" aca="1" ref="H17" ca="1">INDIRECT("防具"&amp;"!F4")</f>
        <v>0.2</v>
      </c>
      <c r="I17" s="37">
        <v>5</v>
      </c>
      <c r="J17" s="36" t="s">
        <v>18</v>
      </c>
      <c r="K17" s="37" cm="1">
        <f t="array" aca="1" ref="K17" ca="1">INDIRECT("防具"&amp;"!G4")</f>
        <v>5</v>
      </c>
      <c r="M17" s="35" t="s">
        <v>186</v>
      </c>
      <c r="N17" s="83" cm="1">
        <f t="array" aca="1" ref="N17" ca="1">IF(P12=INDIRECT("武器"&amp;"!G3"),INDIRECT("武器"&amp;"!J5"),INDIRECT("武器"&amp;"!J12"))</f>
        <v>16</v>
      </c>
      <c r="O17" s="83"/>
      <c r="P17" s="35" t="s">
        <v>186</v>
      </c>
      <c r="Q17" s="83" cm="1">
        <f t="array" aca="1" ref="Q17" ca="1">INDIRECT("防具"&amp;"!U1")</f>
        <v>8</v>
      </c>
      <c r="R17" s="83"/>
      <c r="S17" s="35" t="s">
        <v>186</v>
      </c>
      <c r="T17" s="83" cm="1">
        <f t="array" aca="1" ref="T17" ca="1">INDIRECT("防具"&amp;"!U1")</f>
        <v>8</v>
      </c>
      <c r="U17" s="83"/>
      <c r="V17" s="48"/>
      <c r="W17" s="65"/>
      <c r="X17" s="62" t="s">
        <v>314</v>
      </c>
      <c r="Y17" s="63"/>
      <c r="Z17" s="109"/>
      <c r="AA17" s="63"/>
      <c r="AB17" s="109"/>
      <c r="AC17" s="63"/>
      <c r="AD17" s="109"/>
      <c r="AE17" s="63"/>
      <c r="AF17" s="109"/>
      <c r="AG17" s="63"/>
      <c r="AH17" s="109"/>
      <c r="AI17" s="110"/>
    </row>
    <row r="18" spans="1:35" ht="20.399999999999999" customHeight="1" thickTop="1" thickBot="1" x14ac:dyDescent="0.3">
      <c r="A18" s="95" t="s">
        <v>369</v>
      </c>
      <c r="B18" s="103" t="str">
        <f ca="1">VLOOKUP(A18,INDIRECT("社群与职业"&amp;"!A8:P24"),3,FALSE)</f>
        <v>长柄刀、长枪、水性、防御、抵抗、缴械</v>
      </c>
      <c r="C18" s="103"/>
      <c r="D18" s="103"/>
      <c r="F18" s="37" t="s">
        <v>27</v>
      </c>
      <c r="G18" s="37" cm="1">
        <f t="array" aca="1" ref="G18" ca="1">INDIRECT("防具"&amp;"!E8")</f>
        <v>2</v>
      </c>
      <c r="H18" s="38" cm="1">
        <f t="array" aca="1" ref="H18" ca="1">INDIRECT("防具"&amp;"!F8")</f>
        <v>0.3</v>
      </c>
      <c r="I18" s="37">
        <v>8</v>
      </c>
      <c r="J18" s="36" t="s">
        <v>18</v>
      </c>
      <c r="K18" s="37" cm="1">
        <f t="array" aca="1" ref="K18" ca="1">INDIRECT("防具"&amp;"!G8")</f>
        <v>8</v>
      </c>
      <c r="M18" s="49" t="s">
        <v>182</v>
      </c>
      <c r="N18" s="84"/>
      <c r="O18" s="84"/>
      <c r="P18" s="49" t="s">
        <v>182</v>
      </c>
      <c r="Q18" s="84"/>
      <c r="R18" s="84"/>
      <c r="S18" s="49" t="s">
        <v>182</v>
      </c>
      <c r="T18" s="84"/>
      <c r="U18" s="84"/>
      <c r="V18" s="47"/>
      <c r="W18" s="65"/>
      <c r="X18" s="62" t="s">
        <v>315</v>
      </c>
      <c r="Y18" s="63"/>
      <c r="Z18" s="109"/>
      <c r="AA18" s="63"/>
      <c r="AB18" s="109"/>
      <c r="AC18" s="63"/>
      <c r="AD18" s="109"/>
      <c r="AE18" s="63"/>
      <c r="AF18" s="109"/>
      <c r="AG18" s="63"/>
      <c r="AH18" s="109"/>
      <c r="AI18" s="110"/>
    </row>
    <row r="19" spans="1:35" ht="20.399999999999999" customHeight="1" thickTop="1" thickBot="1" x14ac:dyDescent="0.3">
      <c r="A19" s="96"/>
      <c r="B19" s="104"/>
      <c r="C19" s="104"/>
      <c r="D19" s="104"/>
      <c r="F19" s="37" t="s">
        <v>28</v>
      </c>
      <c r="G19" s="37" cm="1">
        <f t="array" aca="1" ref="G19" ca="1">INDIRECT("防具"&amp;"!E12")</f>
        <v>3</v>
      </c>
      <c r="H19" s="38" cm="1">
        <f t="array" aca="1" ref="H19" ca="1">INDIRECT("防具"&amp;"!F12")</f>
        <v>0.4</v>
      </c>
      <c r="I19" s="37">
        <v>10</v>
      </c>
      <c r="J19" s="36" t="s">
        <v>18</v>
      </c>
      <c r="K19" s="37" cm="1">
        <f t="array" aca="1" ref="K19" ca="1">INDIRECT("防具"&amp;"!G12")</f>
        <v>10</v>
      </c>
      <c r="M19" s="49" t="s">
        <v>323</v>
      </c>
      <c r="N19" s="83">
        <v>0</v>
      </c>
      <c r="O19" s="83"/>
      <c r="P19" s="49" t="s">
        <v>323</v>
      </c>
      <c r="Q19" s="83">
        <v>0</v>
      </c>
      <c r="R19" s="83"/>
      <c r="S19" s="49" t="s">
        <v>323</v>
      </c>
      <c r="T19" s="83">
        <v>0</v>
      </c>
      <c r="U19" s="83"/>
      <c r="V19" s="48"/>
      <c r="W19" s="66"/>
      <c r="X19" s="62" t="s">
        <v>316</v>
      </c>
      <c r="Y19" s="63"/>
      <c r="Z19" s="109"/>
      <c r="AA19" s="63"/>
      <c r="AB19" s="109"/>
      <c r="AC19" s="63"/>
      <c r="AD19" s="109"/>
      <c r="AE19" s="63"/>
      <c r="AF19" s="109"/>
      <c r="AG19" s="63"/>
      <c r="AH19" s="109"/>
      <c r="AI19" s="110"/>
    </row>
    <row r="20" spans="1:35" ht="20.399999999999999" customHeight="1" thickTop="1" thickBot="1" x14ac:dyDescent="0.3">
      <c r="A20" s="97"/>
      <c r="B20" s="105"/>
      <c r="C20" s="105"/>
      <c r="D20" s="105"/>
      <c r="F20" s="37" t="s">
        <v>29</v>
      </c>
      <c r="G20" s="37" cm="1">
        <f t="array" aca="1" ref="G20" ca="1">INDIRECT("防具"&amp;"!E16")</f>
        <v>2</v>
      </c>
      <c r="H20" s="38" cm="1">
        <f t="array" aca="1" ref="H20" ca="1">INDIRECT("防具"&amp;"!F16")</f>
        <v>0.3</v>
      </c>
      <c r="I20" s="37">
        <v>8</v>
      </c>
      <c r="J20" s="36" t="s">
        <v>18</v>
      </c>
      <c r="K20" s="37" cm="1">
        <f t="array" aca="1" ref="K20" ca="1">INDIRECT("防具"&amp;"!G16")</f>
        <v>8</v>
      </c>
      <c r="M20" s="49" t="s">
        <v>324</v>
      </c>
      <c r="N20" s="83">
        <f ca="1">IF(N18=0,N17*N19,N19*N18)</f>
        <v>0</v>
      </c>
      <c r="O20" s="83"/>
      <c r="P20" s="49" t="s">
        <v>324</v>
      </c>
      <c r="Q20" s="83">
        <f ca="1">IF(Q18=0,Q17*Q19,Q18*Q19)</f>
        <v>0</v>
      </c>
      <c r="R20" s="83"/>
      <c r="S20" s="49" t="s">
        <v>324</v>
      </c>
      <c r="T20" s="83">
        <f ca="1">IF(T18=0,T17*T19,T18*T19)</f>
        <v>0</v>
      </c>
      <c r="U20" s="83"/>
      <c r="V20" s="48"/>
    </row>
    <row r="21" spans="1:35" ht="20.399999999999999" customHeight="1" thickTop="1" thickBot="1" x14ac:dyDescent="0.3">
      <c r="A21" s="95" t="s">
        <v>256</v>
      </c>
      <c r="B21" s="106" t="str">
        <f ca="1">VLOOKUP(A18,INDIRECT("社群与职业"&amp;"!A8:P24"),8,FALSE)</f>
        <v>水下所有检定有-10的奖励</v>
      </c>
      <c r="C21" s="106"/>
      <c r="D21" s="106"/>
      <c r="F21" s="93" t="s">
        <v>336</v>
      </c>
      <c r="G21" s="93"/>
      <c r="H21" s="93"/>
      <c r="I21" s="93"/>
      <c r="J21" s="94" t="s">
        <v>154</v>
      </c>
      <c r="K21" s="94"/>
      <c r="M21" s="49" t="s">
        <v>325</v>
      </c>
      <c r="N21" s="83"/>
      <c r="O21" s="83"/>
      <c r="P21" s="49" t="s">
        <v>325</v>
      </c>
      <c r="Q21" s="83"/>
      <c r="R21" s="83"/>
      <c r="S21" s="49" t="s">
        <v>325</v>
      </c>
      <c r="T21" s="83"/>
      <c r="U21" s="83"/>
      <c r="V21" s="48"/>
    </row>
    <row r="22" spans="1:35" ht="20.399999999999999" customHeight="1" thickTop="1" thickBot="1" x14ac:dyDescent="0.3">
      <c r="A22" s="96"/>
      <c r="B22" s="107"/>
      <c r="C22" s="107"/>
      <c r="D22" s="107"/>
      <c r="F22" s="37" t="s">
        <v>337</v>
      </c>
      <c r="G22" s="37" t="e" cm="1">
        <f t="array" aca="1" ref="G22" ca="1">INDIRECT("坐骑"&amp;"!N4")</f>
        <v>#REF!</v>
      </c>
      <c r="H22" s="38" t="e" cm="1">
        <f t="array" aca="1" ref="H22" ca="1">INDIRECT("坐骑"&amp;"!O4")</f>
        <v>#REF!</v>
      </c>
      <c r="I22" s="37">
        <v>8</v>
      </c>
      <c r="J22" s="37" t="s">
        <v>18</v>
      </c>
      <c r="K22" s="37" t="e" cm="1">
        <f t="array" aca="1" ref="K22" ca="1">INDIRECT("坐骑"&amp;"!S13")</f>
        <v>#REF!</v>
      </c>
      <c r="M22" s="49" t="s">
        <v>326</v>
      </c>
      <c r="N22" s="83">
        <f ca="1">SUM(N20,N21)</f>
        <v>0</v>
      </c>
      <c r="O22" s="83"/>
      <c r="P22" s="49" t="s">
        <v>326</v>
      </c>
      <c r="Q22" s="83">
        <f ca="1">SUM(Q20,Q21)</f>
        <v>0</v>
      </c>
      <c r="R22" s="83"/>
      <c r="S22" s="49" t="s">
        <v>326</v>
      </c>
      <c r="T22" s="83">
        <f ca="1">SUM(T20,T21)</f>
        <v>0</v>
      </c>
      <c r="U22" s="83"/>
      <c r="V22" s="48"/>
    </row>
    <row r="23" spans="1:35" ht="20.399999999999999" customHeight="1" thickTop="1" thickBot="1" x14ac:dyDescent="0.3">
      <c r="A23" s="97"/>
      <c r="B23" s="108"/>
      <c r="C23" s="108"/>
      <c r="D23" s="108"/>
      <c r="M23" s="49" t="s">
        <v>327</v>
      </c>
      <c r="N23" s="83">
        <f ca="1">IF(IF(N16=0,N15-N22,N16-N22)&lt;$K$3/2,$K$3/2,IF(N16=0,N15-N22,N16-N22))</f>
        <v>50.7</v>
      </c>
      <c r="O23" s="83"/>
      <c r="P23" s="49" t="s">
        <v>327</v>
      </c>
      <c r="Q23" s="83">
        <f ca="1">IF(IF(Q16=0,Q15-Q22,Q16-Q22)&lt;$K$3/2,$K$3/2,IF(Q16=0,Q15-Q22,Q16-Q22))</f>
        <v>50.7</v>
      </c>
      <c r="R23" s="83"/>
      <c r="S23" s="49" t="s">
        <v>327</v>
      </c>
      <c r="T23" s="83">
        <f ca="1">IF(IF(T16=0,T15-T22,T16-T22)&lt;$K$5/2,$K$5/2,IF(T16=0,T15-T22,T16-T22))</f>
        <v>50.7</v>
      </c>
      <c r="U23" s="83"/>
      <c r="V23" s="48"/>
    </row>
    <row r="24" spans="1:35" ht="20.399999999999999" customHeight="1" thickTop="1" x14ac:dyDescent="0.25">
      <c r="V24" s="48"/>
    </row>
    <row r="26" spans="1:35" ht="20.399999999999999" customHeight="1" x14ac:dyDescent="0.25">
      <c r="C26" cm="1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12</v>
      </c>
      <c r="B29">
        <f ca="1">K3</f>
        <v>50</v>
      </c>
      <c r="D29" t="s">
        <v>113</v>
      </c>
      <c r="G29" t="s">
        <v>124</v>
      </c>
      <c r="H29" t="s">
        <v>244</v>
      </c>
    </row>
    <row r="30" spans="1:35" ht="20.399999999999999" customHeight="1" x14ac:dyDescent="0.25">
      <c r="A30" t="s">
        <v>16</v>
      </c>
      <c r="B30">
        <f ca="1">K11</f>
        <v>40</v>
      </c>
      <c r="D30" t="s">
        <v>155</v>
      </c>
      <c r="F30" t="s">
        <v>247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13</v>
      </c>
      <c r="B31">
        <f ca="1">K5</f>
        <v>50</v>
      </c>
      <c r="F31" t="s">
        <v>246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17</v>
      </c>
      <c r="B32">
        <f ca="1">K13</f>
        <v>30</v>
      </c>
      <c r="F32" t="s">
        <v>245</v>
      </c>
      <c r="G32">
        <f>S3</f>
        <v>55</v>
      </c>
      <c r="H32">
        <f ca="1">U3</f>
        <v>55</v>
      </c>
    </row>
    <row r="33" spans="1:8" ht="20.399999999999999" customHeight="1" x14ac:dyDescent="0.25">
      <c r="A33" t="s">
        <v>14</v>
      </c>
      <c r="B33">
        <f ca="1">K7</f>
        <v>40</v>
      </c>
    </row>
    <row r="34" spans="1:8" ht="20.399999999999999" customHeight="1" x14ac:dyDescent="0.25">
      <c r="A34" t="s">
        <v>15</v>
      </c>
      <c r="B34">
        <f ca="1">K9</f>
        <v>30</v>
      </c>
    </row>
    <row r="35" spans="1:8" ht="20.399999999999999" customHeight="1" x14ac:dyDescent="0.25">
      <c r="G35" t="s">
        <v>124</v>
      </c>
      <c r="H35" t="s">
        <v>244</v>
      </c>
    </row>
    <row r="36" spans="1:8" ht="20.399999999999999" customHeight="1" x14ac:dyDescent="0.25">
      <c r="A36" t="s">
        <v>206</v>
      </c>
      <c r="C36">
        <f ca="1">COUNTIF(B18,"*战术*")</f>
        <v>0</v>
      </c>
      <c r="F36" t="s">
        <v>26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211</v>
      </c>
      <c r="F37" t="s">
        <v>27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212</v>
      </c>
      <c r="F38" t="s">
        <v>28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213</v>
      </c>
      <c r="F39" t="s">
        <v>29</v>
      </c>
      <c r="G39">
        <f>I20</f>
        <v>8</v>
      </c>
      <c r="H39">
        <f ca="1">K20</f>
        <v>8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X10:Y10"/>
    <mergeCell ref="X9:Y9"/>
    <mergeCell ref="AJ5:AK5"/>
    <mergeCell ref="AJ2:AK2"/>
    <mergeCell ref="Z10:AA10"/>
    <mergeCell ref="AH15:AI15"/>
    <mergeCell ref="AH18:AI18"/>
    <mergeCell ref="AB18:AC18"/>
    <mergeCell ref="Z3:AE3"/>
    <mergeCell ref="AF3:AK3"/>
    <mergeCell ref="X16:Y16"/>
    <mergeCell ref="AB9:AC9"/>
    <mergeCell ref="AD9:AE9"/>
    <mergeCell ref="AB10:AC10"/>
    <mergeCell ref="AB16:AC16"/>
    <mergeCell ref="AD10:AE10"/>
    <mergeCell ref="AD16:AE16"/>
    <mergeCell ref="AF16:AG16"/>
    <mergeCell ref="AL2:AM2"/>
    <mergeCell ref="AL3:AM3"/>
    <mergeCell ref="AJ6:AK6"/>
    <mergeCell ref="AJ7:AK7"/>
    <mergeCell ref="AH9:AI9"/>
    <mergeCell ref="AB12:AC12"/>
    <mergeCell ref="AB11:AC11"/>
    <mergeCell ref="AD11:AE11"/>
    <mergeCell ref="AD12:AE12"/>
    <mergeCell ref="AF10:AG10"/>
    <mergeCell ref="AH10:AI10"/>
    <mergeCell ref="AF1:AG1"/>
    <mergeCell ref="AF2:AG2"/>
    <mergeCell ref="AH2:AI2"/>
    <mergeCell ref="AJ4:AK4"/>
    <mergeCell ref="AH1:AI1"/>
    <mergeCell ref="X8:AI8"/>
    <mergeCell ref="Z9:AA9"/>
    <mergeCell ref="X1:Y1"/>
    <mergeCell ref="X2:Y2"/>
    <mergeCell ref="Z2:AA2"/>
    <mergeCell ref="AD1:AE1"/>
    <mergeCell ref="AB2:AC2"/>
    <mergeCell ref="AD2:AE2"/>
    <mergeCell ref="X3:Y3"/>
    <mergeCell ref="AF9:AG9"/>
    <mergeCell ref="AJ1:AK1"/>
    <mergeCell ref="Z1:AA1"/>
    <mergeCell ref="AB1:AC1"/>
    <mergeCell ref="X11:Y11"/>
    <mergeCell ref="X12:Y12"/>
    <mergeCell ref="Z16:AA16"/>
    <mergeCell ref="Z11:AA11"/>
    <mergeCell ref="Z12:AA12"/>
    <mergeCell ref="X13:Y13"/>
    <mergeCell ref="AF11:AG11"/>
    <mergeCell ref="AF12:AG12"/>
    <mergeCell ref="AD14:AE14"/>
    <mergeCell ref="AD15:AE15"/>
    <mergeCell ref="AB13:AC13"/>
    <mergeCell ref="Z13:AA13"/>
    <mergeCell ref="Z14:AA14"/>
    <mergeCell ref="Z15:AA15"/>
    <mergeCell ref="X14:Y14"/>
    <mergeCell ref="X15:Y15"/>
    <mergeCell ref="AD13:AE13"/>
    <mergeCell ref="AF15:AG15"/>
    <mergeCell ref="AH19:AI19"/>
    <mergeCell ref="AH16:AI16"/>
    <mergeCell ref="AH11:AI11"/>
    <mergeCell ref="AH12:AI12"/>
    <mergeCell ref="AF18:AG18"/>
    <mergeCell ref="AF19:AG19"/>
    <mergeCell ref="AF13:AG13"/>
    <mergeCell ref="AF17:AG17"/>
    <mergeCell ref="AH17:AI17"/>
    <mergeCell ref="AH13:AI13"/>
    <mergeCell ref="AH14:AI14"/>
    <mergeCell ref="AB14:AC14"/>
    <mergeCell ref="AB15:AC15"/>
    <mergeCell ref="AF14:AG14"/>
    <mergeCell ref="AB19:AC19"/>
    <mergeCell ref="N19:O19"/>
    <mergeCell ref="N20:O20"/>
    <mergeCell ref="N21:O21"/>
    <mergeCell ref="Q19:R19"/>
    <mergeCell ref="T16:U16"/>
    <mergeCell ref="T17:U17"/>
    <mergeCell ref="T18:U18"/>
    <mergeCell ref="Q16:R16"/>
    <mergeCell ref="Q17:R17"/>
    <mergeCell ref="T19:U19"/>
    <mergeCell ref="T14:U14"/>
    <mergeCell ref="T15:U15"/>
    <mergeCell ref="N18:O18"/>
    <mergeCell ref="Q18:R18"/>
    <mergeCell ref="X17:Y17"/>
    <mergeCell ref="Z17:AA17"/>
    <mergeCell ref="AB17:AC17"/>
    <mergeCell ref="AD17:AE17"/>
    <mergeCell ref="AD18:AE18"/>
    <mergeCell ref="AD19:AE19"/>
    <mergeCell ref="Q20:R20"/>
    <mergeCell ref="Q21:R21"/>
    <mergeCell ref="Q22:R22"/>
    <mergeCell ref="Q23:R23"/>
    <mergeCell ref="T20:U20"/>
    <mergeCell ref="T21:U21"/>
    <mergeCell ref="T22:U22"/>
    <mergeCell ref="T23:U23"/>
    <mergeCell ref="Z18:AA18"/>
    <mergeCell ref="Z19:AA19"/>
    <mergeCell ref="X18:Y18"/>
    <mergeCell ref="F10:F11"/>
    <mergeCell ref="F12:F13"/>
    <mergeCell ref="F8:F9"/>
    <mergeCell ref="N22:O22"/>
    <mergeCell ref="F21:I21"/>
    <mergeCell ref="J21:K21"/>
    <mergeCell ref="F15:K15"/>
    <mergeCell ref="A9:A12"/>
    <mergeCell ref="B9:D12"/>
    <mergeCell ref="A13:D13"/>
    <mergeCell ref="C14:D14"/>
    <mergeCell ref="C15:D15"/>
    <mergeCell ref="C16:D16"/>
    <mergeCell ref="B17:D17"/>
    <mergeCell ref="A18:A20"/>
    <mergeCell ref="B18:D20"/>
    <mergeCell ref="A21:A23"/>
    <mergeCell ref="B21:D23"/>
    <mergeCell ref="N23:O23"/>
    <mergeCell ref="P5:R5"/>
    <mergeCell ref="S5:U5"/>
    <mergeCell ref="N17:O17"/>
    <mergeCell ref="N14:O14"/>
    <mergeCell ref="N15:O15"/>
    <mergeCell ref="N16:O16"/>
    <mergeCell ref="M11:U11"/>
    <mergeCell ref="Q14:R14"/>
    <mergeCell ref="Q15:R15"/>
    <mergeCell ref="M12:O12"/>
    <mergeCell ref="P12:R12"/>
    <mergeCell ref="S12:T12"/>
    <mergeCell ref="M13:O13"/>
    <mergeCell ref="P13:R13"/>
    <mergeCell ref="S13:U13"/>
    <mergeCell ref="X19:Y19"/>
    <mergeCell ref="W11:W19"/>
    <mergeCell ref="A1:D1"/>
    <mergeCell ref="B2:D2"/>
    <mergeCell ref="B8:D8"/>
    <mergeCell ref="F1:K1"/>
    <mergeCell ref="M8:O8"/>
    <mergeCell ref="M1:Q1"/>
    <mergeCell ref="M4:Q4"/>
    <mergeCell ref="M7:Q7"/>
    <mergeCell ref="M2:O2"/>
    <mergeCell ref="P2:R2"/>
    <mergeCell ref="R1:U1"/>
    <mergeCell ref="R4:U4"/>
    <mergeCell ref="S2:U2"/>
    <mergeCell ref="P8:R8"/>
    <mergeCell ref="S8:U8"/>
    <mergeCell ref="B3:D3"/>
    <mergeCell ref="B7:D7"/>
    <mergeCell ref="F2:F3"/>
    <mergeCell ref="F4:F5"/>
    <mergeCell ref="F6:F7"/>
    <mergeCell ref="R7:U7"/>
    <mergeCell ref="M5:O5"/>
  </mergeCells>
  <phoneticPr fontId="1" type="noConversion"/>
  <dataValidations count="1">
    <dataValidation type="list" allowBlank="1" showInputMessage="1" showErrorMessage="1" sqref="AI11:AI21 AH10:AH21 J21:K21" xr:uid="{F5EF7588-FF00-4FA6-A0FB-DB1109602FBD}">
      <formula1>$D$29:$D$30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7767C8-0563-4D9E-9DEB-53FB9D0B865C}">
          <x14:formula1>
            <xm:f>武器!$A$19:$A$20</xm:f>
          </x14:formula1>
          <xm:sqref>P12:R12</xm:sqref>
        </x14:dataValidation>
        <x14:dataValidation type="list" allowBlank="1" showInputMessage="1" showErrorMessage="1" xr:uid="{5B070BFC-95DC-4016-A5F8-EDBE9BFD6BE4}">
          <x14:formula1>
            <xm:f>社群与职业!$A$8:$A$24</xm:f>
          </x14:formula1>
          <xm:sqref>A18:A20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8F1-81BB-4A23-B26B-15C9D803EE37}">
  <sheetPr codeName="Sheet12"/>
  <dimension ref="A1:W32"/>
  <sheetViews>
    <sheetView workbookViewId="0">
      <selection activeCell="N3" sqref="N3:W30"/>
    </sheetView>
  </sheetViews>
  <sheetFormatPr defaultRowHeight="20.399999999999999" customHeight="1" x14ac:dyDescent="0.25"/>
  <sheetData>
    <row r="1" spans="1:23" ht="20.399999999999999" customHeight="1" x14ac:dyDescent="0.25">
      <c r="A1" s="123" t="s">
        <v>169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N1" s="124" t="s">
        <v>126</v>
      </c>
      <c r="O1" s="124"/>
      <c r="P1" s="124"/>
      <c r="Q1" s="124"/>
      <c r="R1" s="124"/>
      <c r="S1" s="124"/>
      <c r="T1" s="124"/>
      <c r="U1" s="124"/>
      <c r="V1" s="124"/>
      <c r="W1" s="124"/>
    </row>
    <row r="2" spans="1:23" ht="20.399999999999999" customHeight="1" thickBot="1" x14ac:dyDescent="0.3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N2" s="124"/>
      <c r="O2" s="124"/>
      <c r="P2" s="124"/>
      <c r="Q2" s="124"/>
      <c r="R2" s="124"/>
      <c r="S2" s="124"/>
      <c r="T2" s="124"/>
      <c r="U2" s="124"/>
      <c r="V2" s="124"/>
      <c r="W2" s="124"/>
    </row>
    <row r="3" spans="1:23" ht="20.399999999999999" customHeight="1" thickTop="1" x14ac:dyDescent="0.25">
      <c r="A3" s="128" t="s">
        <v>319</v>
      </c>
      <c r="B3" s="128"/>
      <c r="C3" s="128"/>
      <c r="D3" s="128"/>
      <c r="E3" s="128">
        <f>SUMIF(E9:H591,"&gt;=0",E9:H591)</f>
        <v>15</v>
      </c>
      <c r="F3" s="128"/>
      <c r="G3" s="128"/>
      <c r="H3" s="128"/>
      <c r="I3" s="128"/>
      <c r="J3" s="128"/>
      <c r="K3" s="128"/>
      <c r="L3" s="128"/>
      <c r="N3" s="127" t="s">
        <v>174</v>
      </c>
      <c r="O3" s="127"/>
      <c r="P3" s="127"/>
      <c r="Q3" s="127"/>
      <c r="R3" s="127"/>
      <c r="S3" s="127"/>
      <c r="T3" s="127"/>
      <c r="U3" s="127"/>
      <c r="V3" s="127"/>
      <c r="W3" s="127"/>
    </row>
    <row r="4" spans="1:23" ht="20.399999999999999" customHeight="1" thickBot="1" x14ac:dyDescent="0.3">
      <c r="A4" s="129"/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N4" s="127"/>
      <c r="O4" s="127"/>
      <c r="P4" s="127"/>
      <c r="Q4" s="127"/>
      <c r="R4" s="127"/>
      <c r="S4" s="127"/>
      <c r="T4" s="127"/>
      <c r="U4" s="127"/>
      <c r="V4" s="127"/>
      <c r="W4" s="127"/>
    </row>
    <row r="5" spans="1:23" ht="20.399999999999999" customHeight="1" thickTop="1" x14ac:dyDescent="0.25">
      <c r="A5" s="128" t="s">
        <v>329</v>
      </c>
      <c r="B5" s="128"/>
      <c r="C5" s="128"/>
      <c r="D5" s="128">
        <f>E3-J5</f>
        <v>15</v>
      </c>
      <c r="E5" s="128"/>
      <c r="F5" s="128"/>
      <c r="G5" s="128" t="s">
        <v>328</v>
      </c>
      <c r="H5" s="128"/>
      <c r="I5" s="128"/>
      <c r="J5" s="128">
        <f>E11</f>
        <v>0</v>
      </c>
      <c r="K5" s="128"/>
      <c r="L5" s="128"/>
      <c r="N5" s="127"/>
      <c r="O5" s="127"/>
      <c r="P5" s="127"/>
      <c r="Q5" s="127"/>
      <c r="R5" s="127"/>
      <c r="S5" s="127"/>
      <c r="T5" s="127"/>
      <c r="U5" s="127"/>
      <c r="V5" s="127"/>
      <c r="W5" s="127"/>
    </row>
    <row r="6" spans="1:23" ht="20.399999999999999" customHeight="1" thickBot="1" x14ac:dyDescent="0.3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N6" s="127"/>
      <c r="O6" s="127"/>
      <c r="P6" s="127"/>
      <c r="Q6" s="127"/>
      <c r="R6" s="127"/>
      <c r="S6" s="127"/>
      <c r="T6" s="127"/>
      <c r="U6" s="127"/>
      <c r="V6" s="127"/>
      <c r="W6" s="127"/>
    </row>
    <row r="7" spans="1:23" ht="20.399999999999999" customHeight="1" thickTop="1" x14ac:dyDescent="0.25">
      <c r="A7" s="128" t="s">
        <v>172</v>
      </c>
      <c r="B7" s="128"/>
      <c r="C7" s="128"/>
      <c r="D7" s="128"/>
      <c r="E7" s="128" t="s">
        <v>170</v>
      </c>
      <c r="F7" s="128"/>
      <c r="G7" s="128"/>
      <c r="H7" s="128"/>
      <c r="I7" s="128" t="s">
        <v>171</v>
      </c>
      <c r="J7" s="128"/>
      <c r="K7" s="128"/>
      <c r="L7" s="128"/>
      <c r="N7" s="127"/>
      <c r="O7" s="127"/>
      <c r="P7" s="127"/>
      <c r="Q7" s="127"/>
      <c r="R7" s="127"/>
      <c r="S7" s="127"/>
      <c r="T7" s="127"/>
      <c r="U7" s="127"/>
      <c r="V7" s="127"/>
      <c r="W7" s="127"/>
    </row>
    <row r="8" spans="1:23" ht="20.399999999999999" customHeight="1" thickBot="1" x14ac:dyDescent="0.3">
      <c r="A8" s="129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N8" s="127"/>
      <c r="O8" s="127"/>
      <c r="P8" s="127"/>
      <c r="Q8" s="127"/>
      <c r="R8" s="127"/>
      <c r="S8" s="127"/>
      <c r="T8" s="127"/>
      <c r="U8" s="127"/>
      <c r="V8" s="127"/>
      <c r="W8" s="127"/>
    </row>
    <row r="9" spans="1:23" ht="20.399999999999999" customHeight="1" thickTop="1" x14ac:dyDescent="0.25">
      <c r="A9" s="125" t="s">
        <v>173</v>
      </c>
      <c r="B9" s="125"/>
      <c r="C9" s="125"/>
      <c r="D9" s="125"/>
      <c r="E9" s="125">
        <v>15</v>
      </c>
      <c r="F9" s="125"/>
      <c r="G9" s="125"/>
      <c r="H9" s="125"/>
      <c r="I9" s="125">
        <f>E9</f>
        <v>15</v>
      </c>
      <c r="J9" s="125"/>
      <c r="K9" s="125"/>
      <c r="L9" s="125"/>
      <c r="N9" s="127"/>
      <c r="O9" s="127"/>
      <c r="P9" s="127"/>
      <c r="Q9" s="127"/>
      <c r="R9" s="127"/>
      <c r="S9" s="127"/>
      <c r="T9" s="127"/>
      <c r="U9" s="127"/>
      <c r="V9" s="127"/>
      <c r="W9" s="127"/>
    </row>
    <row r="10" spans="1:23" ht="20.399999999999999" customHeight="1" thickBot="1" x14ac:dyDescent="0.3">
      <c r="A10" s="126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N10" s="127"/>
      <c r="O10" s="127"/>
      <c r="P10" s="127"/>
      <c r="Q10" s="127"/>
      <c r="R10" s="127"/>
      <c r="S10" s="127"/>
      <c r="T10" s="127"/>
      <c r="U10" s="127"/>
      <c r="V10" s="127"/>
      <c r="W10" s="127"/>
    </row>
    <row r="11" spans="1:23" ht="20.399999999999999" customHeight="1" thickTop="1" x14ac:dyDescent="0.25">
      <c r="A11" s="125" t="s">
        <v>348</v>
      </c>
      <c r="B11" s="125"/>
      <c r="C11" s="125"/>
      <c r="D11" s="125"/>
      <c r="E11" s="125">
        <v>0</v>
      </c>
      <c r="F11" s="125"/>
      <c r="G11" s="125"/>
      <c r="H11" s="125"/>
      <c r="I11" s="125">
        <f>E11+I9</f>
        <v>15</v>
      </c>
      <c r="J11" s="125"/>
      <c r="K11" s="125"/>
      <c r="L11" s="125"/>
      <c r="N11" s="127"/>
      <c r="O11" s="127"/>
      <c r="P11" s="127"/>
      <c r="Q11" s="127"/>
      <c r="R11" s="127"/>
      <c r="S11" s="127"/>
      <c r="T11" s="127"/>
      <c r="U11" s="127"/>
      <c r="V11" s="127"/>
      <c r="W11" s="127"/>
    </row>
    <row r="12" spans="1:23" ht="20.399999999999999" customHeight="1" thickBot="1" x14ac:dyDescent="0.3">
      <c r="A12" s="126"/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N12" s="127"/>
      <c r="O12" s="127"/>
      <c r="P12" s="127"/>
      <c r="Q12" s="127"/>
      <c r="R12" s="127"/>
      <c r="S12" s="127"/>
      <c r="T12" s="127"/>
      <c r="U12" s="127"/>
      <c r="V12" s="127"/>
      <c r="W12" s="127"/>
    </row>
    <row r="13" spans="1:23" ht="20.399999999999999" customHeight="1" thickTop="1" x14ac:dyDescent="0.25">
      <c r="A13" s="125" t="s">
        <v>265</v>
      </c>
      <c r="B13" s="125"/>
      <c r="C13" s="125"/>
      <c r="D13" s="125"/>
      <c r="E13" s="125">
        <v>0</v>
      </c>
      <c r="F13" s="125"/>
      <c r="G13" s="125"/>
      <c r="H13" s="125"/>
      <c r="I13" s="125">
        <f t="shared" ref="I13" si="0">E13+I11</f>
        <v>15</v>
      </c>
      <c r="J13" s="125"/>
      <c r="K13" s="125"/>
      <c r="L13" s="125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20.399999999999999" customHeight="1" thickBot="1" x14ac:dyDescent="0.3">
      <c r="A14" s="126"/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N14" s="127"/>
      <c r="O14" s="127"/>
      <c r="P14" s="127"/>
      <c r="Q14" s="127"/>
      <c r="R14" s="127"/>
      <c r="S14" s="127"/>
      <c r="T14" s="127"/>
      <c r="U14" s="127"/>
      <c r="V14" s="127"/>
      <c r="W14" s="127"/>
    </row>
    <row r="15" spans="1:23" ht="20.399999999999999" customHeight="1" thickTop="1" x14ac:dyDescent="0.25">
      <c r="A15" s="125" t="s">
        <v>266</v>
      </c>
      <c r="B15" s="125"/>
      <c r="C15" s="125"/>
      <c r="D15" s="125"/>
      <c r="E15" s="125">
        <v>-4</v>
      </c>
      <c r="F15" s="125"/>
      <c r="G15" s="125"/>
      <c r="H15" s="125"/>
      <c r="I15" s="125">
        <f t="shared" ref="I15" si="1">E15+I13</f>
        <v>11</v>
      </c>
      <c r="J15" s="125"/>
      <c r="K15" s="125"/>
      <c r="L15" s="125"/>
      <c r="N15" s="127"/>
      <c r="O15" s="127"/>
      <c r="P15" s="127"/>
      <c r="Q15" s="127"/>
      <c r="R15" s="127"/>
      <c r="S15" s="127"/>
      <c r="T15" s="127"/>
      <c r="U15" s="127"/>
      <c r="V15" s="127"/>
      <c r="W15" s="127"/>
    </row>
    <row r="16" spans="1:23" ht="20.399999999999999" customHeight="1" thickBot="1" x14ac:dyDescent="0.3">
      <c r="A16" s="126"/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N16" s="127"/>
      <c r="O16" s="127"/>
      <c r="P16" s="127"/>
      <c r="Q16" s="127"/>
      <c r="R16" s="127"/>
      <c r="S16" s="127"/>
      <c r="T16" s="127"/>
      <c r="U16" s="127"/>
      <c r="V16" s="127"/>
      <c r="W16" s="127"/>
    </row>
    <row r="17" spans="1:23" ht="20.399999999999999" customHeight="1" thickTop="1" x14ac:dyDescent="0.25">
      <c r="A17" s="125" t="s">
        <v>267</v>
      </c>
      <c r="B17" s="125"/>
      <c r="C17" s="125"/>
      <c r="D17" s="125"/>
      <c r="E17" s="125">
        <v>-5</v>
      </c>
      <c r="F17" s="125"/>
      <c r="G17" s="125"/>
      <c r="H17" s="125"/>
      <c r="I17" s="125">
        <f t="shared" ref="I17" si="2">E17+I15</f>
        <v>6</v>
      </c>
      <c r="J17" s="125"/>
      <c r="K17" s="125"/>
      <c r="L17" s="125"/>
      <c r="N17" s="127"/>
      <c r="O17" s="127"/>
      <c r="P17" s="127"/>
      <c r="Q17" s="127"/>
      <c r="R17" s="127"/>
      <c r="S17" s="127"/>
      <c r="T17" s="127"/>
      <c r="U17" s="127"/>
      <c r="V17" s="127"/>
      <c r="W17" s="127"/>
    </row>
    <row r="18" spans="1:23" ht="20.399999999999999" customHeight="1" thickBot="1" x14ac:dyDescent="0.3">
      <c r="A18" s="126"/>
      <c r="B18" s="126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N18" s="127"/>
      <c r="O18" s="127"/>
      <c r="P18" s="127"/>
      <c r="Q18" s="127"/>
      <c r="R18" s="127"/>
      <c r="S18" s="127"/>
      <c r="T18" s="127"/>
      <c r="U18" s="127"/>
      <c r="V18" s="127"/>
      <c r="W18" s="127"/>
    </row>
    <row r="19" spans="1:23" ht="20.399999999999999" customHeight="1" thickTop="1" x14ac:dyDescent="0.25">
      <c r="A19" s="125" t="s">
        <v>268</v>
      </c>
      <c r="B19" s="125"/>
      <c r="C19" s="125"/>
      <c r="D19" s="125"/>
      <c r="E19" s="125">
        <v>-4</v>
      </c>
      <c r="F19" s="125"/>
      <c r="G19" s="125"/>
      <c r="H19" s="125"/>
      <c r="I19" s="125">
        <f t="shared" ref="I19" si="3">E19+I17</f>
        <v>2</v>
      </c>
      <c r="J19" s="125"/>
      <c r="K19" s="125"/>
      <c r="L19" s="125"/>
      <c r="N19" s="127"/>
      <c r="O19" s="127"/>
      <c r="P19" s="127"/>
      <c r="Q19" s="127"/>
      <c r="R19" s="127"/>
      <c r="S19" s="127"/>
      <c r="T19" s="127"/>
      <c r="U19" s="127"/>
      <c r="V19" s="127"/>
      <c r="W19" s="127"/>
    </row>
    <row r="20" spans="1:23" ht="20.399999999999999" customHeight="1" thickBot="1" x14ac:dyDescent="0.3">
      <c r="A20" s="126"/>
      <c r="B20" s="126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N20" s="127"/>
      <c r="O20" s="127"/>
      <c r="P20" s="127"/>
      <c r="Q20" s="127"/>
      <c r="R20" s="127"/>
      <c r="S20" s="127"/>
      <c r="T20" s="127"/>
      <c r="U20" s="127"/>
      <c r="V20" s="127"/>
      <c r="W20" s="127"/>
    </row>
    <row r="21" spans="1:23" ht="20.399999999999999" customHeight="1" thickTop="1" x14ac:dyDescent="0.25">
      <c r="A21" s="125"/>
      <c r="B21" s="125"/>
      <c r="C21" s="125"/>
      <c r="D21" s="125"/>
      <c r="E21" s="125"/>
      <c r="F21" s="125"/>
      <c r="G21" s="125"/>
      <c r="H21" s="125"/>
      <c r="I21" s="125">
        <f t="shared" ref="I21" si="4">E21+I19</f>
        <v>2</v>
      </c>
      <c r="J21" s="125"/>
      <c r="K21" s="125"/>
      <c r="L21" s="125"/>
      <c r="N21" s="127"/>
      <c r="O21" s="127"/>
      <c r="P21" s="127"/>
      <c r="Q21" s="127"/>
      <c r="R21" s="127"/>
      <c r="S21" s="127"/>
      <c r="T21" s="127"/>
      <c r="U21" s="127"/>
      <c r="V21" s="127"/>
      <c r="W21" s="127"/>
    </row>
    <row r="22" spans="1:23" ht="20.399999999999999" customHeight="1" thickBot="1" x14ac:dyDescent="0.3">
      <c r="A22" s="126"/>
      <c r="B22" s="126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N22" s="127"/>
      <c r="O22" s="127"/>
      <c r="P22" s="127"/>
      <c r="Q22" s="127"/>
      <c r="R22" s="127"/>
      <c r="S22" s="127"/>
      <c r="T22" s="127"/>
      <c r="U22" s="127"/>
      <c r="V22" s="127"/>
      <c r="W22" s="127"/>
    </row>
    <row r="23" spans="1:23" ht="20.399999999999999" customHeight="1" thickTop="1" x14ac:dyDescent="0.25">
      <c r="A23" s="125"/>
      <c r="B23" s="125"/>
      <c r="C23" s="125"/>
      <c r="D23" s="125"/>
      <c r="E23" s="125"/>
      <c r="F23" s="125"/>
      <c r="G23" s="125"/>
      <c r="H23" s="125"/>
      <c r="I23" s="125">
        <f t="shared" ref="I23" si="5">E23+I21</f>
        <v>2</v>
      </c>
      <c r="J23" s="125"/>
      <c r="K23" s="125"/>
      <c r="L23" s="125"/>
      <c r="N23" s="127"/>
      <c r="O23" s="127"/>
      <c r="P23" s="127"/>
      <c r="Q23" s="127"/>
      <c r="R23" s="127"/>
      <c r="S23" s="127"/>
      <c r="T23" s="127"/>
      <c r="U23" s="127"/>
      <c r="V23" s="127"/>
      <c r="W23" s="127"/>
    </row>
    <row r="24" spans="1:23" ht="20.399999999999999" customHeight="1" thickBot="1" x14ac:dyDescent="0.3">
      <c r="A24" s="126"/>
      <c r="B24" s="126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N24" s="127"/>
      <c r="O24" s="127"/>
      <c r="P24" s="127"/>
      <c r="Q24" s="127"/>
      <c r="R24" s="127"/>
      <c r="S24" s="127"/>
      <c r="T24" s="127"/>
      <c r="U24" s="127"/>
      <c r="V24" s="127"/>
      <c r="W24" s="127"/>
    </row>
    <row r="25" spans="1:23" ht="20.399999999999999" customHeight="1" thickTop="1" x14ac:dyDescent="0.25">
      <c r="A25" s="125"/>
      <c r="B25" s="125"/>
      <c r="C25" s="125"/>
      <c r="D25" s="125"/>
      <c r="E25" s="125"/>
      <c r="F25" s="125"/>
      <c r="G25" s="125"/>
      <c r="H25" s="125"/>
      <c r="I25" s="125">
        <f t="shared" ref="I25" si="6">E25+I23</f>
        <v>2</v>
      </c>
      <c r="J25" s="125"/>
      <c r="K25" s="125"/>
      <c r="L25" s="125"/>
      <c r="N25" s="127"/>
      <c r="O25" s="127"/>
      <c r="P25" s="127"/>
      <c r="Q25" s="127"/>
      <c r="R25" s="127"/>
      <c r="S25" s="127"/>
      <c r="T25" s="127"/>
      <c r="U25" s="127"/>
      <c r="V25" s="127"/>
      <c r="W25" s="127"/>
    </row>
    <row r="26" spans="1:23" ht="20.399999999999999" customHeight="1" thickBot="1" x14ac:dyDescent="0.3">
      <c r="A26" s="126"/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N26" s="127"/>
      <c r="O26" s="127"/>
      <c r="P26" s="127"/>
      <c r="Q26" s="127"/>
      <c r="R26" s="127"/>
      <c r="S26" s="127"/>
      <c r="T26" s="127"/>
      <c r="U26" s="127"/>
      <c r="V26" s="127"/>
      <c r="W26" s="127"/>
    </row>
    <row r="27" spans="1:23" ht="20.399999999999999" customHeight="1" thickTop="1" x14ac:dyDescent="0.25">
      <c r="A27" s="125"/>
      <c r="B27" s="125"/>
      <c r="C27" s="125"/>
      <c r="D27" s="125"/>
      <c r="E27" s="125"/>
      <c r="F27" s="125"/>
      <c r="G27" s="125"/>
      <c r="H27" s="125"/>
      <c r="I27" s="125">
        <f t="shared" ref="I27" si="7">E27+I25</f>
        <v>2</v>
      </c>
      <c r="J27" s="125"/>
      <c r="K27" s="125"/>
      <c r="L27" s="125"/>
      <c r="N27" s="127"/>
      <c r="O27" s="127"/>
      <c r="P27" s="127"/>
      <c r="Q27" s="127"/>
      <c r="R27" s="127"/>
      <c r="S27" s="127"/>
      <c r="T27" s="127"/>
      <c r="U27" s="127"/>
      <c r="V27" s="127"/>
      <c r="W27" s="127"/>
    </row>
    <row r="28" spans="1:23" ht="20.399999999999999" customHeight="1" thickBot="1" x14ac:dyDescent="0.3">
      <c r="A28" s="126"/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N28" s="127"/>
      <c r="O28" s="127"/>
      <c r="P28" s="127"/>
      <c r="Q28" s="127"/>
      <c r="R28" s="127"/>
      <c r="S28" s="127"/>
      <c r="T28" s="127"/>
      <c r="U28" s="127"/>
      <c r="V28" s="127"/>
      <c r="W28" s="127"/>
    </row>
    <row r="29" spans="1:23" ht="20.399999999999999" customHeight="1" thickTop="1" x14ac:dyDescent="0.25">
      <c r="A29" s="125"/>
      <c r="B29" s="125"/>
      <c r="C29" s="125"/>
      <c r="D29" s="125"/>
      <c r="E29" s="125"/>
      <c r="F29" s="125"/>
      <c r="G29" s="125"/>
      <c r="H29" s="125"/>
      <c r="I29" s="125">
        <f t="shared" ref="I29" si="8">E29+I27</f>
        <v>2</v>
      </c>
      <c r="J29" s="125"/>
      <c r="K29" s="125"/>
      <c r="L29" s="125"/>
      <c r="N29" s="127"/>
      <c r="O29" s="127"/>
      <c r="P29" s="127"/>
      <c r="Q29" s="127"/>
      <c r="R29" s="127"/>
      <c r="S29" s="127"/>
      <c r="T29" s="127"/>
      <c r="U29" s="127"/>
      <c r="V29" s="127"/>
      <c r="W29" s="127"/>
    </row>
    <row r="30" spans="1:23" ht="20.399999999999999" customHeight="1" thickBot="1" x14ac:dyDescent="0.3">
      <c r="A30" s="126"/>
      <c r="B30" s="126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N30" s="127"/>
      <c r="O30" s="127"/>
      <c r="P30" s="127"/>
      <c r="Q30" s="127"/>
      <c r="R30" s="127"/>
      <c r="S30" s="127"/>
      <c r="T30" s="127"/>
      <c r="U30" s="127"/>
      <c r="V30" s="127"/>
      <c r="W30" s="127"/>
    </row>
    <row r="31" spans="1:23" ht="20.399999999999999" customHeight="1" thickTop="1" x14ac:dyDescent="0.25"/>
    <row r="32" spans="1:23" ht="20.399999999999999" customHeight="1" x14ac:dyDescent="0.25">
      <c r="I32" s="29"/>
      <c r="J32" s="29"/>
      <c r="K32" s="29"/>
      <c r="L32" s="29"/>
      <c r="M32" s="29"/>
      <c r="N32" s="29"/>
      <c r="O32" s="29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5:C6"/>
    <mergeCell ref="D5:F6"/>
    <mergeCell ref="G5:I6"/>
    <mergeCell ref="J5:L6"/>
    <mergeCell ref="A3:D4"/>
    <mergeCell ref="E3:L4"/>
    <mergeCell ref="A23:D24"/>
    <mergeCell ref="E23:H24"/>
    <mergeCell ref="A25:D26"/>
    <mergeCell ref="E25:H26"/>
    <mergeCell ref="I23:L24"/>
    <mergeCell ref="I25:L26"/>
    <mergeCell ref="A29:D30"/>
    <mergeCell ref="E29:H30"/>
    <mergeCell ref="I29:L30"/>
    <mergeCell ref="A27:D28"/>
    <mergeCell ref="E27:H28"/>
    <mergeCell ref="I27:L28"/>
    <mergeCell ref="A11:D12"/>
    <mergeCell ref="E11:H12"/>
    <mergeCell ref="A21:D22"/>
    <mergeCell ref="E21:H22"/>
    <mergeCell ref="I21:L22"/>
    <mergeCell ref="A19:D20"/>
    <mergeCell ref="E19:H20"/>
    <mergeCell ref="I17:L18"/>
    <mergeCell ref="I19:L20"/>
    <mergeCell ref="A17:D18"/>
    <mergeCell ref="E17:H18"/>
    <mergeCell ref="A1:L2"/>
    <mergeCell ref="N1:W2"/>
    <mergeCell ref="A9:D10"/>
    <mergeCell ref="A13:D14"/>
    <mergeCell ref="A15:D16"/>
    <mergeCell ref="E9:H10"/>
    <mergeCell ref="I9:L10"/>
    <mergeCell ref="E13:H14"/>
    <mergeCell ref="I11:L12"/>
    <mergeCell ref="E15:H16"/>
    <mergeCell ref="I13:L14"/>
    <mergeCell ref="I15:L16"/>
    <mergeCell ref="N3:W30"/>
    <mergeCell ref="A7:D8"/>
    <mergeCell ref="E7:H8"/>
    <mergeCell ref="I7:L8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7CBC-75F4-4458-AD03-2D10131AA819}">
  <sheetPr codeName="Sheet2"/>
  <dimension ref="A1:AE26"/>
  <sheetViews>
    <sheetView workbookViewId="0">
      <selection activeCell="Q16" sqref="Q16:W18"/>
    </sheetView>
  </sheetViews>
  <sheetFormatPr defaultRowHeight="20.399999999999999" customHeight="1" x14ac:dyDescent="0.25"/>
  <sheetData>
    <row r="1" spans="1:31" ht="20.399999999999999" customHeight="1" x14ac:dyDescent="0.25">
      <c r="A1" s="130" t="s">
        <v>6</v>
      </c>
      <c r="B1" s="130"/>
      <c r="C1" s="130"/>
      <c r="D1" s="130"/>
      <c r="E1" s="130"/>
      <c r="F1" s="130"/>
      <c r="G1" s="130"/>
      <c r="H1" s="40"/>
      <c r="I1" s="130" t="s">
        <v>7</v>
      </c>
      <c r="J1" s="130"/>
      <c r="K1" s="130"/>
      <c r="L1" s="130"/>
      <c r="M1" s="130"/>
      <c r="N1" s="130"/>
      <c r="O1" s="130"/>
      <c r="P1" s="40"/>
      <c r="Q1" s="130" t="s">
        <v>269</v>
      </c>
      <c r="R1" s="130"/>
      <c r="S1" s="130"/>
      <c r="T1" s="130"/>
      <c r="U1" s="130"/>
      <c r="V1" s="130"/>
      <c r="W1" s="130"/>
      <c r="X1" s="40"/>
      <c r="Y1" s="130" t="s">
        <v>8</v>
      </c>
      <c r="Z1" s="130"/>
      <c r="AA1" s="130"/>
      <c r="AB1" s="130"/>
      <c r="AC1" s="130"/>
      <c r="AD1" s="130"/>
      <c r="AE1" s="130"/>
    </row>
    <row r="2" spans="1:31" ht="20.399999999999999" customHeight="1" x14ac:dyDescent="0.25">
      <c r="A2" s="130"/>
      <c r="B2" s="130"/>
      <c r="C2" s="130"/>
      <c r="D2" s="130"/>
      <c r="E2" s="130"/>
      <c r="F2" s="130"/>
      <c r="G2" s="130"/>
      <c r="H2" s="40"/>
      <c r="I2" s="130"/>
      <c r="J2" s="130"/>
      <c r="K2" s="130"/>
      <c r="L2" s="130"/>
      <c r="M2" s="130"/>
      <c r="N2" s="130"/>
      <c r="O2" s="130"/>
      <c r="P2" s="40"/>
      <c r="Q2" s="130"/>
      <c r="R2" s="130"/>
      <c r="S2" s="130"/>
      <c r="T2" s="130"/>
      <c r="U2" s="130"/>
      <c r="V2" s="130"/>
      <c r="W2" s="130"/>
      <c r="X2" s="40"/>
      <c r="Y2" s="130"/>
      <c r="Z2" s="130"/>
      <c r="AA2" s="130"/>
      <c r="AB2" s="130"/>
      <c r="AC2" s="130"/>
      <c r="AD2" s="130"/>
      <c r="AE2" s="130"/>
    </row>
    <row r="3" spans="1:31" ht="20.399999999999999" customHeight="1" x14ac:dyDescent="0.25">
      <c r="A3" s="131" t="s">
        <v>130</v>
      </c>
      <c r="B3" s="131"/>
      <c r="C3" s="131"/>
      <c r="D3" s="131"/>
      <c r="E3" s="131"/>
      <c r="F3" s="131"/>
      <c r="G3" s="131"/>
      <c r="I3" s="131"/>
      <c r="J3" s="131"/>
      <c r="K3" s="131"/>
      <c r="L3" s="131"/>
      <c r="M3" s="131"/>
      <c r="N3" s="131"/>
      <c r="O3" s="131"/>
      <c r="Q3" s="132" t="s">
        <v>270</v>
      </c>
      <c r="R3" s="132"/>
      <c r="S3" s="132"/>
      <c r="T3" s="133">
        <v>0</v>
      </c>
      <c r="U3" s="133"/>
      <c r="V3" s="133"/>
      <c r="W3" s="133"/>
      <c r="Y3" s="131"/>
      <c r="Z3" s="131"/>
      <c r="AA3" s="131"/>
      <c r="AB3" s="131"/>
      <c r="AC3" s="131"/>
      <c r="AD3" s="131"/>
      <c r="AE3" s="131"/>
    </row>
    <row r="4" spans="1:31" ht="20.399999999999999" customHeight="1" x14ac:dyDescent="0.25">
      <c r="A4" s="131"/>
      <c r="B4" s="131"/>
      <c r="C4" s="131"/>
      <c r="D4" s="131"/>
      <c r="E4" s="131"/>
      <c r="F4" s="131"/>
      <c r="G4" s="131"/>
      <c r="I4" s="131"/>
      <c r="J4" s="131"/>
      <c r="K4" s="131"/>
      <c r="L4" s="131"/>
      <c r="M4" s="131"/>
      <c r="N4" s="131"/>
      <c r="O4" s="131"/>
      <c r="Q4" s="132"/>
      <c r="R4" s="132"/>
      <c r="S4" s="132"/>
      <c r="T4" s="133"/>
      <c r="U4" s="133"/>
      <c r="V4" s="133"/>
      <c r="W4" s="133"/>
      <c r="Y4" s="131"/>
      <c r="Z4" s="131"/>
      <c r="AA4" s="131"/>
      <c r="AB4" s="131"/>
      <c r="AC4" s="131"/>
      <c r="AD4" s="131"/>
      <c r="AE4" s="131"/>
    </row>
    <row r="5" spans="1:31" ht="20.399999999999999" customHeight="1" x14ac:dyDescent="0.25">
      <c r="A5" s="131"/>
      <c r="B5" s="131"/>
      <c r="C5" s="131"/>
      <c r="D5" s="131"/>
      <c r="E5" s="131"/>
      <c r="F5" s="131"/>
      <c r="G5" s="131"/>
      <c r="I5" s="131"/>
      <c r="J5" s="131"/>
      <c r="K5" s="131"/>
      <c r="L5" s="131"/>
      <c r="M5" s="131"/>
      <c r="N5" s="131"/>
      <c r="O5" s="131"/>
      <c r="Q5" s="132" t="s">
        <v>271</v>
      </c>
      <c r="R5" s="132"/>
      <c r="S5" s="132"/>
      <c r="T5" s="133" t="s">
        <v>273</v>
      </c>
      <c r="U5" s="133"/>
      <c r="V5" s="133"/>
      <c r="W5" s="133"/>
      <c r="Y5" s="131"/>
      <c r="Z5" s="131"/>
      <c r="AA5" s="131"/>
      <c r="AB5" s="131"/>
      <c r="AC5" s="131"/>
      <c r="AD5" s="131"/>
      <c r="AE5" s="131"/>
    </row>
    <row r="6" spans="1:31" ht="20.399999999999999" customHeight="1" x14ac:dyDescent="0.25">
      <c r="A6" s="131"/>
      <c r="B6" s="131"/>
      <c r="C6" s="131"/>
      <c r="D6" s="131"/>
      <c r="E6" s="131"/>
      <c r="F6" s="131"/>
      <c r="G6" s="131"/>
      <c r="I6" s="131"/>
      <c r="J6" s="131"/>
      <c r="K6" s="131"/>
      <c r="L6" s="131"/>
      <c r="M6" s="131"/>
      <c r="N6" s="131"/>
      <c r="O6" s="131"/>
      <c r="Q6" s="132"/>
      <c r="R6" s="132"/>
      <c r="S6" s="132"/>
      <c r="T6" s="133"/>
      <c r="U6" s="133"/>
      <c r="V6" s="133"/>
      <c r="W6" s="133"/>
      <c r="Y6" s="131"/>
      <c r="Z6" s="131"/>
      <c r="AA6" s="131"/>
      <c r="AB6" s="131"/>
      <c r="AC6" s="131"/>
      <c r="AD6" s="131"/>
      <c r="AE6" s="131"/>
    </row>
    <row r="7" spans="1:31" ht="20.399999999999999" customHeight="1" x14ac:dyDescent="0.25">
      <c r="A7" s="131"/>
      <c r="B7" s="131"/>
      <c r="C7" s="131"/>
      <c r="D7" s="131"/>
      <c r="E7" s="131"/>
      <c r="F7" s="131"/>
      <c r="G7" s="131"/>
      <c r="I7" s="131"/>
      <c r="J7" s="131"/>
      <c r="K7" s="131"/>
      <c r="L7" s="131"/>
      <c r="M7" s="131"/>
      <c r="N7" s="131"/>
      <c r="O7" s="131"/>
      <c r="Q7" s="132" t="s">
        <v>272</v>
      </c>
      <c r="R7" s="132"/>
      <c r="S7" s="132"/>
      <c r="T7" s="133" t="s">
        <v>274</v>
      </c>
      <c r="U7" s="133"/>
      <c r="V7" s="133"/>
      <c r="W7" s="133"/>
      <c r="Y7" s="131"/>
      <c r="Z7" s="131"/>
      <c r="AA7" s="131"/>
      <c r="AB7" s="131"/>
      <c r="AC7" s="131"/>
      <c r="AD7" s="131"/>
      <c r="AE7" s="131"/>
    </row>
    <row r="8" spans="1:31" ht="20.399999999999999" customHeight="1" x14ac:dyDescent="0.25">
      <c r="A8" s="131"/>
      <c r="B8" s="131"/>
      <c r="C8" s="131"/>
      <c r="D8" s="131"/>
      <c r="E8" s="131"/>
      <c r="F8" s="131"/>
      <c r="G8" s="131"/>
      <c r="I8" s="131"/>
      <c r="J8" s="131"/>
      <c r="K8" s="131"/>
      <c r="L8" s="131"/>
      <c r="M8" s="131"/>
      <c r="N8" s="131"/>
      <c r="O8" s="131"/>
      <c r="Q8" s="132"/>
      <c r="R8" s="132"/>
      <c r="S8" s="132"/>
      <c r="T8" s="133"/>
      <c r="U8" s="133"/>
      <c r="V8" s="133"/>
      <c r="W8" s="133"/>
      <c r="Y8" s="131"/>
      <c r="Z8" s="131"/>
      <c r="AA8" s="131"/>
      <c r="AB8" s="131"/>
      <c r="AC8" s="131"/>
      <c r="AD8" s="131"/>
      <c r="AE8" s="131"/>
    </row>
    <row r="9" spans="1:31" ht="20.399999999999999" customHeight="1" x14ac:dyDescent="0.25">
      <c r="A9" s="131"/>
      <c r="B9" s="131"/>
      <c r="C9" s="131"/>
      <c r="D9" s="131"/>
      <c r="E9" s="131"/>
      <c r="F9" s="131"/>
      <c r="G9" s="131"/>
      <c r="I9" s="131"/>
      <c r="J9" s="131"/>
      <c r="K9" s="131"/>
      <c r="L9" s="131"/>
      <c r="M9" s="131"/>
      <c r="N9" s="131"/>
      <c r="O9" s="131"/>
      <c r="Q9" s="132" t="s">
        <v>275</v>
      </c>
      <c r="R9" s="132"/>
      <c r="S9" s="132"/>
      <c r="T9" s="132"/>
      <c r="U9" s="132"/>
      <c r="V9" s="132"/>
      <c r="W9" s="132"/>
      <c r="Y9" s="131"/>
      <c r="Z9" s="131"/>
      <c r="AA9" s="131"/>
      <c r="AB9" s="131"/>
      <c r="AC9" s="131"/>
      <c r="AD9" s="131"/>
      <c r="AE9" s="131"/>
    </row>
    <row r="10" spans="1:31" ht="20.399999999999999" customHeight="1" x14ac:dyDescent="0.25">
      <c r="A10" s="131"/>
      <c r="B10" s="131"/>
      <c r="C10" s="131"/>
      <c r="D10" s="131"/>
      <c r="E10" s="131"/>
      <c r="F10" s="131"/>
      <c r="G10" s="131"/>
      <c r="I10" s="131"/>
      <c r="J10" s="131"/>
      <c r="K10" s="131"/>
      <c r="L10" s="131"/>
      <c r="M10" s="131"/>
      <c r="N10" s="131"/>
      <c r="O10" s="131"/>
      <c r="Q10" s="132"/>
      <c r="R10" s="132"/>
      <c r="S10" s="132"/>
      <c r="T10" s="132"/>
      <c r="U10" s="132"/>
      <c r="V10" s="132"/>
      <c r="W10" s="132"/>
      <c r="Y10" s="131"/>
      <c r="Z10" s="131"/>
      <c r="AA10" s="131"/>
      <c r="AB10" s="131"/>
      <c r="AC10" s="131"/>
      <c r="AD10" s="131"/>
      <c r="AE10" s="131"/>
    </row>
    <row r="11" spans="1:31" ht="20.399999999999999" customHeight="1" x14ac:dyDescent="0.25">
      <c r="A11" s="131"/>
      <c r="B11" s="131"/>
      <c r="C11" s="131"/>
      <c r="D11" s="131"/>
      <c r="E11" s="131"/>
      <c r="F11" s="131"/>
      <c r="G11" s="131"/>
      <c r="I11" s="131"/>
      <c r="J11" s="131"/>
      <c r="K11" s="131"/>
      <c r="L11" s="131"/>
      <c r="M11" s="131"/>
      <c r="N11" s="131"/>
      <c r="O11" s="131"/>
      <c r="Q11" s="133" t="s">
        <v>276</v>
      </c>
      <c r="R11" s="133"/>
      <c r="S11" s="133"/>
      <c r="T11" s="133"/>
      <c r="U11" s="133"/>
      <c r="V11" s="133"/>
      <c r="W11" s="133"/>
      <c r="Y11" s="131"/>
      <c r="Z11" s="131"/>
      <c r="AA11" s="131"/>
      <c r="AB11" s="131"/>
      <c r="AC11" s="131"/>
      <c r="AD11" s="131"/>
      <c r="AE11" s="131"/>
    </row>
    <row r="12" spans="1:31" ht="20.399999999999999" customHeight="1" x14ac:dyDescent="0.25">
      <c r="A12" s="131"/>
      <c r="B12" s="131"/>
      <c r="C12" s="131"/>
      <c r="D12" s="131"/>
      <c r="E12" s="131"/>
      <c r="F12" s="131"/>
      <c r="G12" s="131"/>
      <c r="I12" s="131"/>
      <c r="J12" s="131"/>
      <c r="K12" s="131"/>
      <c r="L12" s="131"/>
      <c r="M12" s="131"/>
      <c r="N12" s="131"/>
      <c r="O12" s="131"/>
      <c r="Q12" s="133"/>
      <c r="R12" s="133"/>
      <c r="S12" s="133"/>
      <c r="T12" s="133"/>
      <c r="U12" s="133"/>
      <c r="V12" s="133"/>
      <c r="W12" s="133"/>
      <c r="Y12" s="131"/>
      <c r="Z12" s="131"/>
      <c r="AA12" s="131"/>
      <c r="AB12" s="131"/>
      <c r="AC12" s="131"/>
      <c r="AD12" s="131"/>
      <c r="AE12" s="131"/>
    </row>
    <row r="13" spans="1:31" ht="20.399999999999999" customHeight="1" x14ac:dyDescent="0.25">
      <c r="A13" s="131"/>
      <c r="B13" s="131"/>
      <c r="C13" s="131"/>
      <c r="D13" s="131"/>
      <c r="E13" s="131"/>
      <c r="F13" s="131"/>
      <c r="G13" s="131"/>
      <c r="I13" s="131"/>
      <c r="J13" s="131"/>
      <c r="K13" s="131"/>
      <c r="L13" s="131"/>
      <c r="M13" s="131"/>
      <c r="N13" s="131"/>
      <c r="O13" s="131"/>
      <c r="Q13" s="133"/>
      <c r="R13" s="133"/>
      <c r="S13" s="133"/>
      <c r="T13" s="133"/>
      <c r="U13" s="133"/>
      <c r="V13" s="133"/>
      <c r="W13" s="133"/>
      <c r="Y13" s="131"/>
      <c r="Z13" s="131"/>
      <c r="AA13" s="131"/>
      <c r="AB13" s="131"/>
      <c r="AC13" s="131"/>
      <c r="AD13" s="131"/>
      <c r="AE13" s="131"/>
    </row>
    <row r="14" spans="1:31" ht="20.399999999999999" customHeight="1" x14ac:dyDescent="0.25">
      <c r="A14" s="131"/>
      <c r="B14" s="131"/>
      <c r="C14" s="131"/>
      <c r="D14" s="131"/>
      <c r="E14" s="131"/>
      <c r="F14" s="131"/>
      <c r="G14" s="131"/>
      <c r="I14" s="130" t="s">
        <v>125</v>
      </c>
      <c r="J14" s="130"/>
      <c r="K14" s="130"/>
      <c r="L14" s="130"/>
      <c r="M14" s="130"/>
      <c r="N14" s="130"/>
      <c r="O14" s="130"/>
      <c r="Q14" s="132" t="s">
        <v>277</v>
      </c>
      <c r="R14" s="132"/>
      <c r="S14" s="132"/>
      <c r="T14" s="132"/>
      <c r="U14" s="132"/>
      <c r="V14" s="132"/>
      <c r="W14" s="132"/>
      <c r="Y14" s="131"/>
      <c r="Z14" s="131"/>
      <c r="AA14" s="131"/>
      <c r="AB14" s="131"/>
      <c r="AC14" s="131"/>
      <c r="AD14" s="131"/>
      <c r="AE14" s="131"/>
    </row>
    <row r="15" spans="1:31" ht="20.399999999999999" customHeight="1" x14ac:dyDescent="0.25">
      <c r="A15" s="131"/>
      <c r="B15" s="131"/>
      <c r="C15" s="131"/>
      <c r="D15" s="131"/>
      <c r="E15" s="131"/>
      <c r="F15" s="131"/>
      <c r="G15" s="131"/>
      <c r="I15" s="130"/>
      <c r="J15" s="130"/>
      <c r="K15" s="130"/>
      <c r="L15" s="130"/>
      <c r="M15" s="130"/>
      <c r="N15" s="130"/>
      <c r="O15" s="130"/>
      <c r="Q15" s="132"/>
      <c r="R15" s="132"/>
      <c r="S15" s="132"/>
      <c r="T15" s="132"/>
      <c r="U15" s="132"/>
      <c r="V15" s="132"/>
      <c r="W15" s="132"/>
      <c r="Y15" s="131"/>
      <c r="Z15" s="131"/>
      <c r="AA15" s="131"/>
      <c r="AB15" s="131"/>
      <c r="AC15" s="131"/>
      <c r="AD15" s="131"/>
      <c r="AE15" s="131"/>
    </row>
    <row r="16" spans="1:31" ht="20.399999999999999" customHeight="1" x14ac:dyDescent="0.25">
      <c r="A16" s="131"/>
      <c r="B16" s="131"/>
      <c r="C16" s="131"/>
      <c r="D16" s="131"/>
      <c r="E16" s="131"/>
      <c r="F16" s="131"/>
      <c r="G16" s="131"/>
      <c r="I16" s="131" t="s">
        <v>127</v>
      </c>
      <c r="J16" s="131"/>
      <c r="K16" s="131"/>
      <c r="L16" s="131"/>
      <c r="M16" s="131"/>
      <c r="N16" s="131"/>
      <c r="O16" s="131"/>
      <c r="Q16" s="133" t="s">
        <v>278</v>
      </c>
      <c r="R16" s="133"/>
      <c r="S16" s="133"/>
      <c r="T16" s="133"/>
      <c r="U16" s="133"/>
      <c r="V16" s="133"/>
      <c r="W16" s="133"/>
      <c r="Y16" s="131"/>
      <c r="Z16" s="131"/>
      <c r="AA16" s="131"/>
      <c r="AB16" s="131"/>
      <c r="AC16" s="131"/>
      <c r="AD16" s="131"/>
      <c r="AE16" s="131"/>
    </row>
    <row r="17" spans="1:31" ht="20.399999999999999" customHeight="1" x14ac:dyDescent="0.25">
      <c r="A17" s="131"/>
      <c r="B17" s="131"/>
      <c r="C17" s="131"/>
      <c r="D17" s="131"/>
      <c r="E17" s="131"/>
      <c r="F17" s="131"/>
      <c r="G17" s="131"/>
      <c r="I17" s="131"/>
      <c r="J17" s="131"/>
      <c r="K17" s="131"/>
      <c r="L17" s="131"/>
      <c r="M17" s="131"/>
      <c r="N17" s="131"/>
      <c r="O17" s="131"/>
      <c r="Q17" s="133"/>
      <c r="R17" s="133"/>
      <c r="S17" s="133"/>
      <c r="T17" s="133"/>
      <c r="U17" s="133"/>
      <c r="V17" s="133"/>
      <c r="W17" s="133"/>
      <c r="Y17" s="131"/>
      <c r="Z17" s="131"/>
      <c r="AA17" s="131"/>
      <c r="AB17" s="131"/>
      <c r="AC17" s="131"/>
      <c r="AD17" s="131"/>
      <c r="AE17" s="131"/>
    </row>
    <row r="18" spans="1:31" ht="20.399999999999999" customHeight="1" x14ac:dyDescent="0.25">
      <c r="A18" s="131"/>
      <c r="B18" s="131"/>
      <c r="C18" s="131"/>
      <c r="D18" s="131"/>
      <c r="E18" s="131"/>
      <c r="F18" s="131"/>
      <c r="G18" s="131"/>
      <c r="I18" s="131"/>
      <c r="J18" s="131"/>
      <c r="K18" s="131"/>
      <c r="L18" s="131"/>
      <c r="M18" s="131"/>
      <c r="N18" s="131"/>
      <c r="O18" s="131"/>
      <c r="Q18" s="133"/>
      <c r="R18" s="133"/>
      <c r="S18" s="133"/>
      <c r="T18" s="133"/>
      <c r="U18" s="133"/>
      <c r="V18" s="133"/>
      <c r="W18" s="133"/>
      <c r="Y18" s="131"/>
      <c r="Z18" s="131"/>
      <c r="AA18" s="131"/>
      <c r="AB18" s="131"/>
      <c r="AC18" s="131"/>
      <c r="AD18" s="131"/>
      <c r="AE18" s="131"/>
    </row>
    <row r="19" spans="1:31" ht="20.399999999999999" customHeight="1" x14ac:dyDescent="0.25">
      <c r="A19" s="131"/>
      <c r="B19" s="131"/>
      <c r="C19" s="131"/>
      <c r="D19" s="131"/>
      <c r="E19" s="131"/>
      <c r="F19" s="131"/>
      <c r="G19" s="131"/>
      <c r="I19" s="131"/>
      <c r="J19" s="131"/>
      <c r="K19" s="131"/>
      <c r="L19" s="131"/>
      <c r="M19" s="131"/>
      <c r="N19" s="131"/>
      <c r="O19" s="131"/>
      <c r="Y19" s="131"/>
      <c r="Z19" s="131"/>
      <c r="AA19" s="131"/>
      <c r="AB19" s="131"/>
      <c r="AC19" s="131"/>
      <c r="AD19" s="131"/>
      <c r="AE19" s="131"/>
    </row>
    <row r="20" spans="1:31" ht="20.399999999999999" customHeight="1" x14ac:dyDescent="0.25">
      <c r="A20" s="131"/>
      <c r="B20" s="131"/>
      <c r="C20" s="131"/>
      <c r="D20" s="131"/>
      <c r="E20" s="131"/>
      <c r="F20" s="131"/>
      <c r="G20" s="131"/>
      <c r="I20" s="131"/>
      <c r="J20" s="131"/>
      <c r="K20" s="131"/>
      <c r="L20" s="131"/>
      <c r="M20" s="131"/>
      <c r="N20" s="131"/>
      <c r="O20" s="131"/>
      <c r="Y20" s="131"/>
      <c r="Z20" s="131"/>
      <c r="AA20" s="131"/>
      <c r="AB20" s="131"/>
      <c r="AC20" s="131"/>
      <c r="AD20" s="131"/>
      <c r="AE20" s="131"/>
    </row>
    <row r="21" spans="1:31" ht="20.399999999999999" customHeight="1" x14ac:dyDescent="0.25">
      <c r="A21" s="131"/>
      <c r="B21" s="131"/>
      <c r="C21" s="131"/>
      <c r="D21" s="131"/>
      <c r="E21" s="131"/>
      <c r="F21" s="131"/>
      <c r="G21" s="131"/>
      <c r="I21" s="131"/>
      <c r="J21" s="131"/>
      <c r="K21" s="131"/>
      <c r="L21" s="131"/>
      <c r="M21" s="131"/>
      <c r="N21" s="131"/>
      <c r="O21" s="131"/>
      <c r="Y21" s="131"/>
      <c r="Z21" s="131"/>
      <c r="AA21" s="131"/>
      <c r="AB21" s="131"/>
      <c r="AC21" s="131"/>
      <c r="AD21" s="131"/>
      <c r="AE21" s="131"/>
    </row>
    <row r="22" spans="1:31" ht="20.399999999999999" customHeight="1" x14ac:dyDescent="0.25">
      <c r="A22" s="131"/>
      <c r="B22" s="131"/>
      <c r="C22" s="131"/>
      <c r="D22" s="131"/>
      <c r="E22" s="131"/>
      <c r="F22" s="131"/>
      <c r="G22" s="131"/>
      <c r="I22" s="131"/>
      <c r="J22" s="131"/>
      <c r="K22" s="131"/>
      <c r="L22" s="131"/>
      <c r="M22" s="131"/>
      <c r="N22" s="131"/>
      <c r="O22" s="131"/>
      <c r="Y22" s="131"/>
      <c r="Z22" s="131"/>
      <c r="AA22" s="131"/>
      <c r="AB22" s="131"/>
      <c r="AC22" s="131"/>
      <c r="AD22" s="131"/>
      <c r="AE22" s="131"/>
    </row>
    <row r="23" spans="1:31" ht="20.399999999999999" customHeight="1" x14ac:dyDescent="0.25">
      <c r="A23" s="131"/>
      <c r="B23" s="131"/>
      <c r="C23" s="131"/>
      <c r="D23" s="131"/>
      <c r="E23" s="131"/>
      <c r="F23" s="131"/>
      <c r="G23" s="131"/>
      <c r="I23" s="131"/>
      <c r="J23" s="131"/>
      <c r="K23" s="131"/>
      <c r="L23" s="131"/>
      <c r="M23" s="131"/>
      <c r="N23" s="131"/>
      <c r="O23" s="131"/>
      <c r="Y23" s="131"/>
      <c r="Z23" s="131"/>
      <c r="AA23" s="131"/>
      <c r="AB23" s="131"/>
      <c r="AC23" s="131"/>
      <c r="AD23" s="131"/>
      <c r="AE23" s="131"/>
    </row>
    <row r="24" spans="1:31" ht="20.399999999999999" customHeight="1" x14ac:dyDescent="0.25">
      <c r="A24" s="131"/>
      <c r="B24" s="131"/>
      <c r="C24" s="131"/>
      <c r="D24" s="131"/>
      <c r="E24" s="131"/>
      <c r="F24" s="131"/>
      <c r="G24" s="131"/>
      <c r="I24" s="131"/>
      <c r="J24" s="131"/>
      <c r="K24" s="131"/>
      <c r="L24" s="131"/>
      <c r="M24" s="131"/>
      <c r="N24" s="131"/>
      <c r="O24" s="131"/>
      <c r="Y24" s="131"/>
      <c r="Z24" s="131"/>
      <c r="AA24" s="131"/>
      <c r="AB24" s="131"/>
      <c r="AC24" s="131"/>
      <c r="AD24" s="131"/>
      <c r="AE24" s="131"/>
    </row>
    <row r="25" spans="1:31" ht="20.399999999999999" customHeight="1" x14ac:dyDescent="0.25">
      <c r="A25" s="131"/>
      <c r="B25" s="131"/>
      <c r="C25" s="131"/>
      <c r="D25" s="131"/>
      <c r="E25" s="131"/>
      <c r="F25" s="131"/>
      <c r="G25" s="131"/>
      <c r="I25" s="131"/>
      <c r="J25" s="131"/>
      <c r="K25" s="131"/>
      <c r="L25" s="131"/>
      <c r="M25" s="131"/>
      <c r="N25" s="131"/>
      <c r="O25" s="131"/>
      <c r="U25" s="29"/>
      <c r="V25" s="29"/>
      <c r="W25" s="29"/>
      <c r="Y25" s="131"/>
      <c r="Z25" s="131"/>
      <c r="AA25" s="131"/>
      <c r="AB25" s="131"/>
      <c r="AC25" s="131"/>
      <c r="AD25" s="131"/>
      <c r="AE25" s="131"/>
    </row>
    <row r="26" spans="1:31" ht="20.399999999999999" customHeight="1" x14ac:dyDescent="0.25">
      <c r="I26" s="29"/>
      <c r="J26" s="29"/>
      <c r="K26" s="29"/>
      <c r="L26" s="29"/>
      <c r="M26" s="29"/>
      <c r="N26" s="29"/>
      <c r="O26" s="29"/>
    </row>
  </sheetData>
  <protectedRanges>
    <protectedRange sqref="A3 I3 Q3 A29 Y3" name="区域1"/>
  </protectedRanges>
  <mergeCells count="23">
    <mergeCell ref="Y1:AE2"/>
    <mergeCell ref="Y3:AE25"/>
    <mergeCell ref="Q3:S4"/>
    <mergeCell ref="T3:W4"/>
    <mergeCell ref="Q5:S6"/>
    <mergeCell ref="Q7:S8"/>
    <mergeCell ref="T5:W6"/>
    <mergeCell ref="T7:W8"/>
    <mergeCell ref="Q9:W10"/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178E9-50AF-4C07-AF79-278A0B61D954}">
  <sheetPr codeName="Sheet3"/>
  <dimension ref="A1:W27"/>
  <sheetViews>
    <sheetView workbookViewId="0">
      <selection sqref="A1:G3"/>
    </sheetView>
  </sheetViews>
  <sheetFormatPr defaultRowHeight="13.8" x14ac:dyDescent="0.25"/>
  <sheetData>
    <row r="1" spans="1:23" x14ac:dyDescent="0.25">
      <c r="A1" s="134" t="s">
        <v>64</v>
      </c>
      <c r="B1" s="113"/>
      <c r="C1" s="113"/>
      <c r="D1" s="113"/>
      <c r="E1" s="113"/>
      <c r="F1" s="113"/>
      <c r="G1" s="113"/>
      <c r="I1" s="134" t="s">
        <v>65</v>
      </c>
      <c r="J1" s="113"/>
      <c r="K1" s="113"/>
      <c r="L1" s="113"/>
      <c r="M1" s="113"/>
      <c r="N1" s="113"/>
      <c r="O1" s="113"/>
      <c r="Q1" s="134" t="s">
        <v>66</v>
      </c>
      <c r="R1" s="113"/>
      <c r="S1" s="113"/>
      <c r="T1" s="113"/>
      <c r="U1" s="113"/>
      <c r="V1" s="113"/>
      <c r="W1" s="113"/>
    </row>
    <row r="2" spans="1:23" x14ac:dyDescent="0.25">
      <c r="A2" s="113"/>
      <c r="B2" s="113"/>
      <c r="C2" s="113"/>
      <c r="D2" s="113"/>
      <c r="E2" s="113"/>
      <c r="F2" s="113"/>
      <c r="G2" s="113"/>
      <c r="I2" s="113"/>
      <c r="J2" s="113"/>
      <c r="K2" s="113"/>
      <c r="L2" s="113"/>
      <c r="M2" s="113"/>
      <c r="N2" s="113"/>
      <c r="O2" s="113"/>
      <c r="Q2" s="113"/>
      <c r="R2" s="113"/>
      <c r="S2" s="113"/>
      <c r="T2" s="113"/>
      <c r="U2" s="113"/>
      <c r="V2" s="113"/>
      <c r="W2" s="113"/>
    </row>
    <row r="3" spans="1:23" x14ac:dyDescent="0.25">
      <c r="A3" s="113"/>
      <c r="B3" s="113"/>
      <c r="C3" s="113"/>
      <c r="D3" s="113"/>
      <c r="E3" s="113"/>
      <c r="F3" s="113"/>
      <c r="G3" s="113"/>
      <c r="I3" s="113"/>
      <c r="J3" s="113"/>
      <c r="K3" s="113"/>
      <c r="L3" s="113"/>
      <c r="M3" s="113"/>
      <c r="N3" s="113"/>
      <c r="O3" s="113"/>
      <c r="Q3" s="113"/>
      <c r="R3" s="113"/>
      <c r="S3" s="113"/>
      <c r="T3" s="113"/>
      <c r="U3" s="113"/>
      <c r="V3" s="113"/>
      <c r="W3" s="113"/>
    </row>
    <row r="4" spans="1:23" x14ac:dyDescent="0.25">
      <c r="A4" s="131" t="s">
        <v>67</v>
      </c>
      <c r="B4" s="131"/>
      <c r="C4" s="131"/>
      <c r="D4" s="131"/>
      <c r="E4" s="131"/>
      <c r="F4" s="131"/>
      <c r="G4" s="131"/>
      <c r="I4" s="131" t="s">
        <v>68</v>
      </c>
      <c r="J4" s="131"/>
      <c r="K4" s="131"/>
      <c r="L4" s="131"/>
      <c r="M4" s="131"/>
      <c r="N4" s="131"/>
      <c r="O4" s="131"/>
      <c r="Q4" s="131" t="s">
        <v>69</v>
      </c>
      <c r="R4" s="131"/>
      <c r="S4" s="131"/>
      <c r="T4" s="131"/>
      <c r="U4" s="131"/>
      <c r="V4" s="131"/>
      <c r="W4" s="131"/>
    </row>
    <row r="5" spans="1:23" x14ac:dyDescent="0.25">
      <c r="A5" s="131"/>
      <c r="B5" s="131"/>
      <c r="C5" s="131"/>
      <c r="D5" s="131"/>
      <c r="E5" s="131"/>
      <c r="F5" s="131"/>
      <c r="G5" s="131"/>
      <c r="I5" s="131"/>
      <c r="J5" s="131"/>
      <c r="K5" s="131"/>
      <c r="L5" s="131"/>
      <c r="M5" s="131"/>
      <c r="N5" s="131"/>
      <c r="O5" s="131"/>
      <c r="Q5" s="131"/>
      <c r="R5" s="131"/>
      <c r="S5" s="131"/>
      <c r="T5" s="131"/>
      <c r="U5" s="131"/>
      <c r="V5" s="131"/>
      <c r="W5" s="131"/>
    </row>
    <row r="6" spans="1:23" x14ac:dyDescent="0.25">
      <c r="A6" s="131"/>
      <c r="B6" s="131"/>
      <c r="C6" s="131"/>
      <c r="D6" s="131"/>
      <c r="E6" s="131"/>
      <c r="F6" s="131"/>
      <c r="G6" s="131"/>
      <c r="I6" s="131"/>
      <c r="J6" s="131"/>
      <c r="K6" s="131"/>
      <c r="L6" s="131"/>
      <c r="M6" s="131"/>
      <c r="N6" s="131"/>
      <c r="O6" s="131"/>
      <c r="Q6" s="131"/>
      <c r="R6" s="131"/>
      <c r="S6" s="131"/>
      <c r="T6" s="131"/>
      <c r="U6" s="131"/>
      <c r="V6" s="131"/>
      <c r="W6" s="131"/>
    </row>
    <row r="7" spans="1:23" x14ac:dyDescent="0.25">
      <c r="A7" s="131"/>
      <c r="B7" s="131"/>
      <c r="C7" s="131"/>
      <c r="D7" s="131"/>
      <c r="E7" s="131"/>
      <c r="F7" s="131"/>
      <c r="G7" s="131"/>
      <c r="I7" s="131"/>
      <c r="J7" s="131"/>
      <c r="K7" s="131"/>
      <c r="L7" s="131"/>
      <c r="M7" s="131"/>
      <c r="N7" s="131"/>
      <c r="O7" s="131"/>
      <c r="Q7" s="131"/>
      <c r="R7" s="131"/>
      <c r="S7" s="131"/>
      <c r="T7" s="131"/>
      <c r="U7" s="131"/>
      <c r="V7" s="131"/>
      <c r="W7" s="131"/>
    </row>
    <row r="8" spans="1:23" x14ac:dyDescent="0.25">
      <c r="A8" s="131"/>
      <c r="B8" s="131"/>
      <c r="C8" s="131"/>
      <c r="D8" s="131"/>
      <c r="E8" s="131"/>
      <c r="F8" s="131"/>
      <c r="G8" s="131"/>
      <c r="I8" s="131"/>
      <c r="J8" s="131"/>
      <c r="K8" s="131"/>
      <c r="L8" s="131"/>
      <c r="M8" s="131"/>
      <c r="N8" s="131"/>
      <c r="O8" s="131"/>
      <c r="Q8" s="131"/>
      <c r="R8" s="131"/>
      <c r="S8" s="131"/>
      <c r="T8" s="131"/>
      <c r="U8" s="131"/>
      <c r="V8" s="131"/>
      <c r="W8" s="131"/>
    </row>
    <row r="9" spans="1:23" x14ac:dyDescent="0.25">
      <c r="A9" s="131"/>
      <c r="B9" s="131"/>
      <c r="C9" s="131"/>
      <c r="D9" s="131"/>
      <c r="E9" s="131"/>
      <c r="F9" s="131"/>
      <c r="G9" s="131"/>
      <c r="I9" s="131"/>
      <c r="J9" s="131"/>
      <c r="K9" s="131"/>
      <c r="L9" s="131"/>
      <c r="M9" s="131"/>
      <c r="N9" s="131"/>
      <c r="O9" s="131"/>
      <c r="Q9" s="131"/>
      <c r="R9" s="131"/>
      <c r="S9" s="131"/>
      <c r="T9" s="131"/>
      <c r="U9" s="131"/>
      <c r="V9" s="131"/>
      <c r="W9" s="131"/>
    </row>
    <row r="10" spans="1:23" x14ac:dyDescent="0.25">
      <c r="A10" s="131"/>
      <c r="B10" s="131"/>
      <c r="C10" s="131"/>
      <c r="D10" s="131"/>
      <c r="E10" s="131"/>
      <c r="F10" s="131"/>
      <c r="G10" s="131"/>
      <c r="I10" s="131"/>
      <c r="J10" s="131"/>
      <c r="K10" s="131"/>
      <c r="L10" s="131"/>
      <c r="M10" s="131"/>
      <c r="N10" s="131"/>
      <c r="O10" s="131"/>
      <c r="Q10" s="131"/>
      <c r="R10" s="131"/>
      <c r="S10" s="131"/>
      <c r="T10" s="131"/>
      <c r="U10" s="131"/>
      <c r="V10" s="131"/>
      <c r="W10" s="131"/>
    </row>
    <row r="11" spans="1:23" x14ac:dyDescent="0.25">
      <c r="A11" s="131"/>
      <c r="B11" s="131"/>
      <c r="C11" s="131"/>
      <c r="D11" s="131"/>
      <c r="E11" s="131"/>
      <c r="F11" s="131"/>
      <c r="G11" s="131"/>
      <c r="I11" s="131"/>
      <c r="J11" s="131"/>
      <c r="K11" s="131"/>
      <c r="L11" s="131"/>
      <c r="M11" s="131"/>
      <c r="N11" s="131"/>
      <c r="O11" s="131"/>
      <c r="Q11" s="131"/>
      <c r="R11" s="131"/>
      <c r="S11" s="131"/>
      <c r="T11" s="131"/>
      <c r="U11" s="131"/>
      <c r="V11" s="131"/>
      <c r="W11" s="131"/>
    </row>
    <row r="12" spans="1:23" x14ac:dyDescent="0.25">
      <c r="A12" s="131"/>
      <c r="B12" s="131"/>
      <c r="C12" s="131"/>
      <c r="D12" s="131"/>
      <c r="E12" s="131"/>
      <c r="F12" s="131"/>
      <c r="G12" s="131"/>
      <c r="I12" s="131"/>
      <c r="J12" s="131"/>
      <c r="K12" s="131"/>
      <c r="L12" s="131"/>
      <c r="M12" s="131"/>
      <c r="N12" s="131"/>
      <c r="O12" s="131"/>
      <c r="Q12" s="131"/>
      <c r="R12" s="131"/>
      <c r="S12" s="131"/>
      <c r="T12" s="131"/>
      <c r="U12" s="131"/>
      <c r="V12" s="131"/>
      <c r="W12" s="131"/>
    </row>
    <row r="13" spans="1:23" x14ac:dyDescent="0.25">
      <c r="A13" s="131"/>
      <c r="B13" s="131"/>
      <c r="C13" s="131"/>
      <c r="D13" s="131"/>
      <c r="E13" s="131"/>
      <c r="F13" s="131"/>
      <c r="G13" s="131"/>
      <c r="I13" s="131"/>
      <c r="J13" s="131"/>
      <c r="K13" s="131"/>
      <c r="L13" s="131"/>
      <c r="M13" s="131"/>
      <c r="N13" s="131"/>
      <c r="O13" s="131"/>
      <c r="Q13" s="131"/>
      <c r="R13" s="131"/>
      <c r="S13" s="131"/>
      <c r="T13" s="131"/>
      <c r="U13" s="131"/>
      <c r="V13" s="131"/>
      <c r="W13" s="131"/>
    </row>
    <row r="14" spans="1:23" x14ac:dyDescent="0.25">
      <c r="A14" s="131"/>
      <c r="B14" s="131"/>
      <c r="C14" s="131"/>
      <c r="D14" s="131"/>
      <c r="E14" s="131"/>
      <c r="F14" s="131"/>
      <c r="G14" s="131"/>
      <c r="I14" s="131"/>
      <c r="J14" s="131"/>
      <c r="K14" s="131"/>
      <c r="L14" s="131"/>
      <c r="M14" s="131"/>
      <c r="N14" s="131"/>
      <c r="O14" s="131"/>
      <c r="Q14" s="131"/>
      <c r="R14" s="131"/>
      <c r="S14" s="131"/>
      <c r="T14" s="131"/>
      <c r="U14" s="131"/>
      <c r="V14" s="131"/>
      <c r="W14" s="131"/>
    </row>
    <row r="15" spans="1:23" x14ac:dyDescent="0.25">
      <c r="A15" s="131"/>
      <c r="B15" s="131"/>
      <c r="C15" s="131"/>
      <c r="D15" s="131"/>
      <c r="E15" s="131"/>
      <c r="F15" s="131"/>
      <c r="G15" s="131"/>
      <c r="I15" s="131"/>
      <c r="J15" s="131"/>
      <c r="K15" s="131"/>
      <c r="L15" s="131"/>
      <c r="M15" s="131"/>
      <c r="N15" s="131"/>
      <c r="O15" s="131"/>
      <c r="Q15" s="131"/>
      <c r="R15" s="131"/>
      <c r="S15" s="131"/>
      <c r="T15" s="131"/>
      <c r="U15" s="131"/>
      <c r="V15" s="131"/>
      <c r="W15" s="131"/>
    </row>
    <row r="16" spans="1:23" x14ac:dyDescent="0.25">
      <c r="A16" s="131"/>
      <c r="B16" s="131"/>
      <c r="C16" s="131"/>
      <c r="D16" s="131"/>
      <c r="E16" s="131"/>
      <c r="F16" s="131"/>
      <c r="G16" s="131"/>
      <c r="I16" s="131"/>
      <c r="J16" s="131"/>
      <c r="K16" s="131"/>
      <c r="L16" s="131"/>
      <c r="M16" s="131"/>
      <c r="N16" s="131"/>
      <c r="O16" s="131"/>
      <c r="Q16" s="131"/>
      <c r="R16" s="131"/>
      <c r="S16" s="131"/>
      <c r="T16" s="131"/>
      <c r="U16" s="131"/>
      <c r="V16" s="131"/>
      <c r="W16" s="131"/>
    </row>
    <row r="17" spans="1:23" x14ac:dyDescent="0.25">
      <c r="A17" s="131"/>
      <c r="B17" s="131"/>
      <c r="C17" s="131"/>
      <c r="D17" s="131"/>
      <c r="E17" s="131"/>
      <c r="F17" s="131"/>
      <c r="G17" s="131"/>
      <c r="I17" s="131"/>
      <c r="J17" s="131"/>
      <c r="K17" s="131"/>
      <c r="L17" s="131"/>
      <c r="M17" s="131"/>
      <c r="N17" s="131"/>
      <c r="O17" s="131"/>
      <c r="Q17" s="131"/>
      <c r="R17" s="131"/>
      <c r="S17" s="131"/>
      <c r="T17" s="131"/>
      <c r="U17" s="131"/>
      <c r="V17" s="131"/>
      <c r="W17" s="131"/>
    </row>
    <row r="18" spans="1:23" x14ac:dyDescent="0.25">
      <c r="A18" s="131"/>
      <c r="B18" s="131"/>
      <c r="C18" s="131"/>
      <c r="D18" s="131"/>
      <c r="E18" s="131"/>
      <c r="F18" s="131"/>
      <c r="G18" s="131"/>
      <c r="I18" s="131"/>
      <c r="J18" s="131"/>
      <c r="K18" s="131"/>
      <c r="L18" s="131"/>
      <c r="M18" s="131"/>
      <c r="N18" s="131"/>
      <c r="O18" s="131"/>
      <c r="Q18" s="131"/>
      <c r="R18" s="131"/>
      <c r="S18" s="131"/>
      <c r="T18" s="131"/>
      <c r="U18" s="131"/>
      <c r="V18" s="131"/>
      <c r="W18" s="131"/>
    </row>
    <row r="19" spans="1:23" x14ac:dyDescent="0.25">
      <c r="A19" s="131"/>
      <c r="B19" s="131"/>
      <c r="C19" s="131"/>
      <c r="D19" s="131"/>
      <c r="E19" s="131"/>
      <c r="F19" s="131"/>
      <c r="G19" s="131"/>
      <c r="I19" s="131"/>
      <c r="J19" s="131"/>
      <c r="K19" s="131"/>
      <c r="L19" s="131"/>
      <c r="M19" s="131"/>
      <c r="N19" s="131"/>
      <c r="O19" s="131"/>
      <c r="Q19" s="131"/>
      <c r="R19" s="131"/>
      <c r="S19" s="131"/>
      <c r="T19" s="131"/>
      <c r="U19" s="131"/>
      <c r="V19" s="131"/>
      <c r="W19" s="131"/>
    </row>
    <row r="20" spans="1:23" x14ac:dyDescent="0.25">
      <c r="A20" s="131"/>
      <c r="B20" s="131"/>
      <c r="C20" s="131"/>
      <c r="D20" s="131"/>
      <c r="E20" s="131"/>
      <c r="F20" s="131"/>
      <c r="G20" s="131"/>
      <c r="I20" s="131"/>
      <c r="J20" s="131"/>
      <c r="K20" s="131"/>
      <c r="L20" s="131"/>
      <c r="M20" s="131"/>
      <c r="N20" s="131"/>
      <c r="O20" s="131"/>
      <c r="Q20" s="131"/>
      <c r="R20" s="131"/>
      <c r="S20" s="131"/>
      <c r="T20" s="131"/>
      <c r="U20" s="131"/>
      <c r="V20" s="131"/>
      <c r="W20" s="131"/>
    </row>
    <row r="21" spans="1:23" x14ac:dyDescent="0.25">
      <c r="A21" s="131"/>
      <c r="B21" s="131"/>
      <c r="C21" s="131"/>
      <c r="D21" s="131"/>
      <c r="E21" s="131"/>
      <c r="F21" s="131"/>
      <c r="G21" s="131"/>
      <c r="I21" s="131"/>
      <c r="J21" s="131"/>
      <c r="K21" s="131"/>
      <c r="L21" s="131"/>
      <c r="M21" s="131"/>
      <c r="N21" s="131"/>
      <c r="O21" s="131"/>
      <c r="Q21" s="131"/>
      <c r="R21" s="131"/>
      <c r="S21" s="131"/>
      <c r="T21" s="131"/>
      <c r="U21" s="131"/>
      <c r="V21" s="131"/>
      <c r="W21" s="131"/>
    </row>
    <row r="22" spans="1:23" x14ac:dyDescent="0.25">
      <c r="A22" s="131"/>
      <c r="B22" s="131"/>
      <c r="C22" s="131"/>
      <c r="D22" s="131"/>
      <c r="E22" s="131"/>
      <c r="F22" s="131"/>
      <c r="G22" s="131"/>
      <c r="I22" s="131"/>
      <c r="J22" s="131"/>
      <c r="K22" s="131"/>
      <c r="L22" s="131"/>
      <c r="M22" s="131"/>
      <c r="N22" s="131"/>
      <c r="O22" s="131"/>
      <c r="Q22" s="131"/>
      <c r="R22" s="131"/>
      <c r="S22" s="131"/>
      <c r="T22" s="131"/>
      <c r="U22" s="131"/>
      <c r="V22" s="131"/>
      <c r="W22" s="131"/>
    </row>
    <row r="23" spans="1:23" x14ac:dyDescent="0.25">
      <c r="A23" s="131"/>
      <c r="B23" s="131"/>
      <c r="C23" s="131"/>
      <c r="D23" s="131"/>
      <c r="E23" s="131"/>
      <c r="F23" s="131"/>
      <c r="G23" s="131"/>
      <c r="I23" s="131"/>
      <c r="J23" s="131"/>
      <c r="K23" s="131"/>
      <c r="L23" s="131"/>
      <c r="M23" s="131"/>
      <c r="N23" s="131"/>
      <c r="O23" s="131"/>
      <c r="Q23" s="131"/>
      <c r="R23" s="131"/>
      <c r="S23" s="131"/>
      <c r="T23" s="131"/>
      <c r="U23" s="131"/>
      <c r="V23" s="131"/>
      <c r="W23" s="131"/>
    </row>
    <row r="24" spans="1:23" x14ac:dyDescent="0.25">
      <c r="A24" s="131"/>
      <c r="B24" s="131"/>
      <c r="C24" s="131"/>
      <c r="D24" s="131"/>
      <c r="E24" s="131"/>
      <c r="F24" s="131"/>
      <c r="G24" s="131"/>
      <c r="I24" s="131"/>
      <c r="J24" s="131"/>
      <c r="K24" s="131"/>
      <c r="L24" s="131"/>
      <c r="M24" s="131"/>
      <c r="N24" s="131"/>
      <c r="O24" s="131"/>
      <c r="Q24" s="131"/>
      <c r="R24" s="131"/>
      <c r="S24" s="131"/>
      <c r="T24" s="131"/>
      <c r="U24" s="131"/>
      <c r="V24" s="131"/>
      <c r="W24" s="131"/>
    </row>
    <row r="25" spans="1:23" x14ac:dyDescent="0.25">
      <c r="A25" s="131"/>
      <c r="B25" s="131"/>
      <c r="C25" s="131"/>
      <c r="D25" s="131"/>
      <c r="E25" s="131"/>
      <c r="F25" s="131"/>
      <c r="G25" s="131"/>
      <c r="I25" s="131"/>
      <c r="J25" s="131"/>
      <c r="K25" s="131"/>
      <c r="L25" s="131"/>
      <c r="M25" s="131"/>
      <c r="N25" s="131"/>
      <c r="O25" s="131"/>
      <c r="Q25" s="131"/>
      <c r="R25" s="131"/>
      <c r="S25" s="131"/>
      <c r="T25" s="131"/>
      <c r="U25" s="131"/>
      <c r="V25" s="131"/>
      <c r="W25" s="131"/>
    </row>
    <row r="26" spans="1:23" x14ac:dyDescent="0.25">
      <c r="A26" s="131"/>
      <c r="B26" s="131"/>
      <c r="C26" s="131"/>
      <c r="D26" s="131"/>
      <c r="E26" s="131"/>
      <c r="F26" s="131"/>
      <c r="G26" s="131"/>
      <c r="I26" s="131"/>
      <c r="J26" s="131"/>
      <c r="K26" s="131"/>
      <c r="L26" s="131"/>
      <c r="M26" s="131"/>
      <c r="N26" s="131"/>
      <c r="O26" s="131"/>
      <c r="Q26" s="131"/>
      <c r="R26" s="131"/>
      <c r="S26" s="131"/>
      <c r="T26" s="131"/>
      <c r="U26" s="131"/>
      <c r="V26" s="131"/>
      <c r="W26" s="131"/>
    </row>
    <row r="27" spans="1:23" x14ac:dyDescent="0.25">
      <c r="A27" s="131"/>
      <c r="B27" s="131"/>
      <c r="C27" s="131"/>
      <c r="D27" s="131"/>
      <c r="E27" s="131"/>
      <c r="F27" s="131"/>
      <c r="G27" s="131"/>
      <c r="I27" s="131"/>
      <c r="J27" s="131"/>
      <c r="K27" s="131"/>
      <c r="L27" s="131"/>
      <c r="M27" s="131"/>
      <c r="N27" s="131"/>
      <c r="O27" s="131"/>
      <c r="Q27" s="131"/>
      <c r="R27" s="131"/>
      <c r="S27" s="131"/>
      <c r="T27" s="131"/>
      <c r="U27" s="131"/>
      <c r="V27" s="131"/>
      <c r="W27" s="131"/>
    </row>
  </sheetData>
  <mergeCells count="6">
    <mergeCell ref="A1:G3"/>
    <mergeCell ref="I1:O3"/>
    <mergeCell ref="Q1:W3"/>
    <mergeCell ref="A4:G27"/>
    <mergeCell ref="I4:O27"/>
    <mergeCell ref="Q4:W2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49C7F-52B5-4ADA-BEE5-EA674C6F7DEE}">
  <sheetPr codeName="Sheet4"/>
  <dimension ref="A1:W20"/>
  <sheetViews>
    <sheetView workbookViewId="0">
      <selection activeCell="N10" sqref="N10:S10"/>
    </sheetView>
  </sheetViews>
  <sheetFormatPr defaultRowHeight="13.8" x14ac:dyDescent="0.25"/>
  <sheetData>
    <row r="1" spans="1:23" ht="20.399999999999999" customHeight="1" thickTop="1" thickBot="1" x14ac:dyDescent="0.3">
      <c r="A1" s="164" t="s">
        <v>39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54" t="s">
        <v>338</v>
      </c>
      <c r="M1" s="155"/>
      <c r="N1" s="155"/>
      <c r="O1" s="155"/>
      <c r="P1" s="155"/>
      <c r="Q1" s="155"/>
      <c r="R1" s="156"/>
      <c r="S1" s="160" t="s">
        <v>154</v>
      </c>
      <c r="T1" s="161"/>
    </row>
    <row r="2" spans="1:23" ht="20.399999999999999" customHeight="1" thickTop="1" thickBot="1" x14ac:dyDescent="0.3">
      <c r="A2" s="164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57"/>
      <c r="M2" s="158"/>
      <c r="N2" s="158"/>
      <c r="O2" s="158"/>
      <c r="P2" s="158"/>
      <c r="Q2" s="158"/>
      <c r="R2" s="159"/>
      <c r="S2" s="162"/>
      <c r="T2" s="163"/>
    </row>
    <row r="3" spans="1:23" ht="20.399999999999999" customHeight="1" thickTop="1" thickBot="1" x14ac:dyDescent="0.3">
      <c r="A3" s="135" t="s">
        <v>30</v>
      </c>
      <c r="B3" s="135"/>
      <c r="C3" s="25" t="s">
        <v>110</v>
      </c>
      <c r="D3" s="136">
        <v>1</v>
      </c>
      <c r="E3" s="136"/>
      <c r="F3" s="25" t="s">
        <v>36</v>
      </c>
      <c r="G3" s="136" t="s">
        <v>312</v>
      </c>
      <c r="H3" s="136"/>
      <c r="I3" s="25" t="s">
        <v>31</v>
      </c>
      <c r="J3" s="136" t="s">
        <v>313</v>
      </c>
      <c r="K3" s="136"/>
      <c r="N3" s="148" t="s">
        <v>165</v>
      </c>
      <c r="O3" s="149"/>
      <c r="P3" s="149"/>
      <c r="Q3" s="149"/>
      <c r="R3" s="149"/>
      <c r="S3" s="150"/>
    </row>
    <row r="4" spans="1:23" ht="20.399999999999999" customHeight="1" thickTop="1" thickBot="1" x14ac:dyDescent="0.3">
      <c r="A4" s="135"/>
      <c r="B4" s="135"/>
      <c r="C4" s="25" t="s">
        <v>25</v>
      </c>
      <c r="D4" s="136" t="s">
        <v>12</v>
      </c>
      <c r="E4" s="136"/>
      <c r="F4" s="25" t="s">
        <v>37</v>
      </c>
      <c r="G4" s="136">
        <v>25</v>
      </c>
      <c r="H4" s="136"/>
      <c r="I4" s="25" t="s">
        <v>162</v>
      </c>
      <c r="J4" s="136" t="s">
        <v>50</v>
      </c>
      <c r="K4" s="136"/>
      <c r="N4" s="25" t="s">
        <v>42</v>
      </c>
      <c r="O4" s="25" t="s">
        <v>43</v>
      </c>
      <c r="P4" s="25" t="s">
        <v>44</v>
      </c>
      <c r="Q4" s="25" t="s">
        <v>45</v>
      </c>
      <c r="R4" s="25" t="s">
        <v>46</v>
      </c>
      <c r="S4" s="25" t="s">
        <v>47</v>
      </c>
      <c r="W4" s="43"/>
    </row>
    <row r="5" spans="1:23" ht="20.399999999999999" customHeight="1" thickTop="1" thickBot="1" x14ac:dyDescent="0.3">
      <c r="A5" s="135"/>
      <c r="B5" s="135"/>
      <c r="C5" s="25" t="s">
        <v>24</v>
      </c>
      <c r="D5" s="136">
        <v>3</v>
      </c>
      <c r="E5" s="136"/>
      <c r="F5" s="25" t="s">
        <v>23</v>
      </c>
      <c r="G5" s="136">
        <v>8</v>
      </c>
      <c r="H5" s="136"/>
      <c r="I5" s="25" t="s">
        <v>163</v>
      </c>
      <c r="J5" s="136" cm="1">
        <f t="array" aca="1" ref="J5" ca="1">ROUNDDOWN((20/144)*POWER(((INDIRECT("总表"&amp;"!K3")-G4)/5-12),2)+10,0)</f>
        <v>16</v>
      </c>
      <c r="K5" s="136"/>
      <c r="N5" s="23"/>
      <c r="O5" s="23"/>
      <c r="P5" s="23"/>
      <c r="Q5" s="23"/>
      <c r="R5" s="23"/>
      <c r="S5" s="23"/>
    </row>
    <row r="6" spans="1:23" ht="20.399999999999999" customHeight="1" thickTop="1" thickBot="1" x14ac:dyDescent="0.3">
      <c r="A6" s="135"/>
      <c r="B6" s="135"/>
      <c r="C6" s="153" t="s">
        <v>331</v>
      </c>
      <c r="D6" s="151" t="s">
        <v>332</v>
      </c>
      <c r="E6" s="151"/>
      <c r="F6" s="151"/>
      <c r="G6" s="151"/>
      <c r="H6" s="151"/>
      <c r="I6" s="151"/>
      <c r="J6" s="151"/>
      <c r="K6" s="151"/>
      <c r="L6" s="137" t="s">
        <v>330</v>
      </c>
      <c r="M6" s="140" t="s">
        <v>333</v>
      </c>
      <c r="N6" s="141"/>
      <c r="O6" s="141"/>
      <c r="P6" s="141"/>
      <c r="Q6" s="141"/>
      <c r="R6" s="141"/>
      <c r="S6" s="141"/>
      <c r="T6" s="142"/>
    </row>
    <row r="7" spans="1:23" ht="20.399999999999999" customHeight="1" thickTop="1" thickBot="1" x14ac:dyDescent="0.3">
      <c r="A7" s="135"/>
      <c r="B7" s="135"/>
      <c r="C7" s="153"/>
      <c r="D7" s="151"/>
      <c r="E7" s="151"/>
      <c r="F7" s="151"/>
      <c r="G7" s="151"/>
      <c r="H7" s="151"/>
      <c r="I7" s="151"/>
      <c r="J7" s="151"/>
      <c r="K7" s="151"/>
      <c r="L7" s="138"/>
      <c r="M7" s="143"/>
      <c r="N7" s="133"/>
      <c r="O7" s="133"/>
      <c r="P7" s="133"/>
      <c r="Q7" s="133"/>
      <c r="R7" s="133"/>
      <c r="S7" s="133"/>
      <c r="T7" s="144"/>
    </row>
    <row r="8" spans="1:23" ht="20.399999999999999" customHeight="1" thickTop="1" thickBot="1" x14ac:dyDescent="0.3">
      <c r="A8" s="135"/>
      <c r="B8" s="135"/>
      <c r="C8" s="152" t="s">
        <v>38</v>
      </c>
      <c r="D8" s="151" t="s">
        <v>56</v>
      </c>
      <c r="E8" s="151"/>
      <c r="F8" s="151"/>
      <c r="G8" s="151"/>
      <c r="H8" s="151"/>
      <c r="I8" s="151"/>
      <c r="J8" s="151"/>
      <c r="K8" s="151"/>
      <c r="L8" s="138"/>
      <c r="M8" s="143"/>
      <c r="N8" s="133"/>
      <c r="O8" s="133"/>
      <c r="P8" s="133"/>
      <c r="Q8" s="133"/>
      <c r="R8" s="133"/>
      <c r="S8" s="133"/>
      <c r="T8" s="144"/>
    </row>
    <row r="9" spans="1:23" ht="20.399999999999999" customHeight="1" thickTop="1" thickBot="1" x14ac:dyDescent="0.3">
      <c r="A9" s="135"/>
      <c r="B9" s="135"/>
      <c r="C9" s="152"/>
      <c r="D9" s="151"/>
      <c r="E9" s="151"/>
      <c r="F9" s="151"/>
      <c r="G9" s="151"/>
      <c r="H9" s="151"/>
      <c r="I9" s="151"/>
      <c r="J9" s="151"/>
      <c r="K9" s="151"/>
      <c r="L9" s="139"/>
      <c r="M9" s="145"/>
      <c r="N9" s="146"/>
      <c r="O9" s="146"/>
      <c r="P9" s="146"/>
      <c r="Q9" s="146"/>
      <c r="R9" s="146"/>
      <c r="S9" s="146"/>
      <c r="T9" s="147"/>
    </row>
    <row r="10" spans="1:23" ht="20.399999999999999" customHeight="1" thickTop="1" thickBot="1" x14ac:dyDescent="0.3">
      <c r="A10" s="135" t="s">
        <v>40</v>
      </c>
      <c r="B10" s="135"/>
      <c r="C10" s="25" t="s">
        <v>110</v>
      </c>
      <c r="D10" s="136">
        <v>1</v>
      </c>
      <c r="E10" s="136"/>
      <c r="F10" s="25" t="s">
        <v>36</v>
      </c>
      <c r="G10" s="136" t="s">
        <v>53</v>
      </c>
      <c r="H10" s="136"/>
      <c r="I10" s="25" t="s">
        <v>31</v>
      </c>
      <c r="J10" s="136" t="s">
        <v>164</v>
      </c>
      <c r="K10" s="136"/>
      <c r="N10" s="148" t="s">
        <v>165</v>
      </c>
      <c r="O10" s="149"/>
      <c r="P10" s="149"/>
      <c r="Q10" s="149"/>
      <c r="R10" s="149"/>
      <c r="S10" s="150"/>
    </row>
    <row r="11" spans="1:23" ht="20.399999999999999" customHeight="1" thickTop="1" thickBot="1" x14ac:dyDescent="0.3">
      <c r="A11" s="135"/>
      <c r="B11" s="135"/>
      <c r="C11" s="25" t="s">
        <v>25</v>
      </c>
      <c r="D11" s="136" t="s">
        <v>12</v>
      </c>
      <c r="E11" s="136"/>
      <c r="F11" s="25" t="s">
        <v>37</v>
      </c>
      <c r="G11" s="136">
        <v>35</v>
      </c>
      <c r="H11" s="136"/>
      <c r="I11" s="25" t="s">
        <v>162</v>
      </c>
      <c r="J11" s="136" t="s">
        <v>54</v>
      </c>
      <c r="K11" s="136"/>
      <c r="N11" s="25" t="s">
        <v>42</v>
      </c>
      <c r="O11" s="25" t="s">
        <v>43</v>
      </c>
      <c r="P11" s="25" t="s">
        <v>44</v>
      </c>
      <c r="Q11" s="25" t="s">
        <v>45</v>
      </c>
      <c r="R11" s="25" t="s">
        <v>46</v>
      </c>
      <c r="S11" s="25" t="s">
        <v>47</v>
      </c>
    </row>
    <row r="12" spans="1:23" ht="20.399999999999999" customHeight="1" thickTop="1" thickBot="1" x14ac:dyDescent="0.3">
      <c r="A12" s="135"/>
      <c r="B12" s="135"/>
      <c r="C12" s="25" t="s">
        <v>24</v>
      </c>
      <c r="D12" s="136" t="s">
        <v>55</v>
      </c>
      <c r="E12" s="136"/>
      <c r="F12" s="25" t="s">
        <v>23</v>
      </c>
      <c r="G12" s="136">
        <v>9</v>
      </c>
      <c r="H12" s="136"/>
      <c r="I12" s="25" t="s">
        <v>163</v>
      </c>
      <c r="J12" s="136" cm="1">
        <f t="array" aca="1" ref="J12" ca="1">ROUNDDOWN((20/144)*POWER(((INDIRECT("总表"&amp;"!K3")-G11)/5-12),2)+10,0)</f>
        <v>21</v>
      </c>
      <c r="K12" s="136"/>
      <c r="N12" s="23">
        <v>2</v>
      </c>
      <c r="O12" s="23"/>
      <c r="P12" s="23"/>
      <c r="Q12" s="23"/>
      <c r="R12" s="23"/>
      <c r="S12" s="23"/>
      <c r="W12" s="28"/>
    </row>
    <row r="13" spans="1:23" ht="20.399999999999999" customHeight="1" thickTop="1" thickBot="1" x14ac:dyDescent="0.3">
      <c r="A13" s="135"/>
      <c r="B13" s="135"/>
      <c r="C13" s="153" t="s">
        <v>331</v>
      </c>
      <c r="D13" s="151" t="s">
        <v>166</v>
      </c>
      <c r="E13" s="151"/>
      <c r="F13" s="151"/>
      <c r="G13" s="151"/>
      <c r="H13" s="151"/>
      <c r="I13" s="151"/>
      <c r="J13" s="151"/>
      <c r="K13" s="151"/>
      <c r="L13" s="137" t="s">
        <v>330</v>
      </c>
      <c r="M13" s="140" t="s">
        <v>333</v>
      </c>
      <c r="N13" s="141"/>
      <c r="O13" s="141"/>
      <c r="P13" s="141"/>
      <c r="Q13" s="141"/>
      <c r="R13" s="141"/>
      <c r="S13" s="141"/>
      <c r="T13" s="142"/>
    </row>
    <row r="14" spans="1:23" ht="20.399999999999999" customHeight="1" thickTop="1" thickBot="1" x14ac:dyDescent="0.3">
      <c r="A14" s="135"/>
      <c r="B14" s="135"/>
      <c r="C14" s="153"/>
      <c r="D14" s="151"/>
      <c r="E14" s="151"/>
      <c r="F14" s="151"/>
      <c r="G14" s="151"/>
      <c r="H14" s="151"/>
      <c r="I14" s="151"/>
      <c r="J14" s="151"/>
      <c r="K14" s="151"/>
      <c r="L14" s="138"/>
      <c r="M14" s="143"/>
      <c r="N14" s="133"/>
      <c r="O14" s="133"/>
      <c r="P14" s="133"/>
      <c r="Q14" s="133"/>
      <c r="R14" s="133"/>
      <c r="S14" s="133"/>
      <c r="T14" s="144"/>
    </row>
    <row r="15" spans="1:23" ht="20.399999999999999" customHeight="1" thickTop="1" thickBot="1" x14ac:dyDescent="0.3">
      <c r="A15" s="135"/>
      <c r="B15" s="135"/>
      <c r="C15" s="152" t="s">
        <v>38</v>
      </c>
      <c r="D15" s="151" t="s">
        <v>57</v>
      </c>
      <c r="E15" s="151"/>
      <c r="F15" s="151"/>
      <c r="G15" s="151"/>
      <c r="H15" s="151"/>
      <c r="I15" s="151"/>
      <c r="J15" s="151"/>
      <c r="K15" s="151"/>
      <c r="L15" s="138"/>
      <c r="M15" s="143"/>
      <c r="N15" s="133"/>
      <c r="O15" s="133"/>
      <c r="P15" s="133"/>
      <c r="Q15" s="133"/>
      <c r="R15" s="133"/>
      <c r="S15" s="133"/>
      <c r="T15" s="144"/>
    </row>
    <row r="16" spans="1:23" ht="20.399999999999999" customHeight="1" thickTop="1" thickBot="1" x14ac:dyDescent="0.3">
      <c r="A16" s="135"/>
      <c r="B16" s="135"/>
      <c r="C16" s="152"/>
      <c r="D16" s="151"/>
      <c r="E16" s="151"/>
      <c r="F16" s="151"/>
      <c r="G16" s="151"/>
      <c r="H16" s="151"/>
      <c r="I16" s="151"/>
      <c r="J16" s="151"/>
      <c r="K16" s="151"/>
      <c r="L16" s="139"/>
      <c r="M16" s="145"/>
      <c r="N16" s="146"/>
      <c r="O16" s="146"/>
      <c r="P16" s="146"/>
      <c r="Q16" s="146"/>
      <c r="R16" s="146"/>
      <c r="S16" s="146"/>
      <c r="T16" s="147"/>
    </row>
    <row r="17" spans="1:1" ht="20.399999999999999" customHeight="1" thickTop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dataConsolidate/>
  <mergeCells count="37">
    <mergeCell ref="L1:R2"/>
    <mergeCell ref="S1:T2"/>
    <mergeCell ref="D15:K16"/>
    <mergeCell ref="C13:C14"/>
    <mergeCell ref="G10:H10"/>
    <mergeCell ref="D11:E11"/>
    <mergeCell ref="G3:H3"/>
    <mergeCell ref="G4:H4"/>
    <mergeCell ref="G5:H5"/>
    <mergeCell ref="D4:E4"/>
    <mergeCell ref="D5:E5"/>
    <mergeCell ref="D13:K14"/>
    <mergeCell ref="G11:H11"/>
    <mergeCell ref="D12:E12"/>
    <mergeCell ref="A1:K2"/>
    <mergeCell ref="J3:K3"/>
    <mergeCell ref="J4:K4"/>
    <mergeCell ref="J5:K5"/>
    <mergeCell ref="D6:K7"/>
    <mergeCell ref="C6:C7"/>
    <mergeCell ref="A3:B9"/>
    <mergeCell ref="A10:B16"/>
    <mergeCell ref="D10:E10"/>
    <mergeCell ref="D3:E3"/>
    <mergeCell ref="L13:L16"/>
    <mergeCell ref="M13:T16"/>
    <mergeCell ref="N3:S3"/>
    <mergeCell ref="N10:S10"/>
    <mergeCell ref="L6:L9"/>
    <mergeCell ref="M6:T9"/>
    <mergeCell ref="G12:H12"/>
    <mergeCell ref="D8:K9"/>
    <mergeCell ref="J10:K10"/>
    <mergeCell ref="J11:K11"/>
    <mergeCell ref="J12:K12"/>
    <mergeCell ref="C8:C9"/>
    <mergeCell ref="C15:C16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F43FC6-C14E-4C3F-BF16-AC251C371E83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30E62454-AFEB-4111-8FB2-DB6A8F319CBF}">
          <x14:formula1>
            <xm:f>各种技能!$L$4:$L$34</xm:f>
          </x14:formula1>
          <xm:sqref>J10:K10 J3:K3</xm:sqref>
        </x14:dataValidation>
        <x14:dataValidation type="list" allowBlank="1" showInputMessage="1" showErrorMessage="1" xr:uid="{CCD955B0-C217-4FB2-9397-6906C16D52BA}">
          <x14:formula1>
            <xm:f>总表!$D$29:$D$30</xm:f>
          </x14:formula1>
          <xm:sqref>S1:T2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CC46B-0C47-4B8D-9322-59D80BE1F259}">
  <sheetPr codeName="Sheet7"/>
  <dimension ref="A1:X20"/>
  <sheetViews>
    <sheetView topLeftCell="B1" workbookViewId="0">
      <selection activeCell="L19" sqref="L19"/>
    </sheetView>
  </sheetViews>
  <sheetFormatPr defaultRowHeight="13.8" x14ac:dyDescent="0.25"/>
  <sheetData>
    <row r="1" spans="1:24" ht="20.399999999999999" customHeight="1" thickTop="1" x14ac:dyDescent="0.25">
      <c r="A1" s="176" t="s">
        <v>48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8"/>
      <c r="O1" s="165" t="s">
        <v>167</v>
      </c>
      <c r="P1" s="166"/>
      <c r="Q1" s="169">
        <f>FLOOR(AVERAGE(H4,H8,H12,H16),1)</f>
        <v>20</v>
      </c>
      <c r="R1" s="169"/>
      <c r="S1" s="165" t="s">
        <v>168</v>
      </c>
      <c r="T1" s="166"/>
      <c r="U1" s="169" cm="1">
        <f t="array" aca="1" ref="U1" ca="1">ROUNDDOWN((15/144)*POWER(((INDIRECT("总表"&amp;"!K3")-Q1)/5-12),2)+5,0)</f>
        <v>8</v>
      </c>
      <c r="V1" s="169"/>
      <c r="W1" s="169"/>
    </row>
    <row r="2" spans="1:24" ht="20.399999999999999" customHeight="1" thickBot="1" x14ac:dyDescent="0.3">
      <c r="A2" s="179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1"/>
      <c r="O2" s="167"/>
      <c r="P2" s="168"/>
      <c r="Q2" s="170"/>
      <c r="R2" s="170"/>
      <c r="S2" s="167"/>
      <c r="T2" s="168"/>
      <c r="U2" s="170"/>
      <c r="V2" s="170"/>
      <c r="W2" s="170"/>
    </row>
    <row r="3" spans="1:24" ht="20.399999999999999" customHeight="1" thickTop="1" thickBot="1" x14ac:dyDescent="0.3">
      <c r="A3" s="171" t="s">
        <v>26</v>
      </c>
      <c r="B3" s="152" t="s">
        <v>36</v>
      </c>
      <c r="C3" s="152"/>
      <c r="D3" s="25" t="s">
        <v>110</v>
      </c>
      <c r="E3" s="25" t="s">
        <v>41</v>
      </c>
      <c r="F3" s="25" t="s">
        <v>128</v>
      </c>
      <c r="G3" s="25" t="s">
        <v>129</v>
      </c>
      <c r="H3" s="25" t="s">
        <v>37</v>
      </c>
      <c r="I3" s="25" t="s">
        <v>42</v>
      </c>
      <c r="J3" s="25" t="s">
        <v>43</v>
      </c>
      <c r="K3" s="25" t="s">
        <v>44</v>
      </c>
      <c r="L3" s="25" t="s">
        <v>45</v>
      </c>
      <c r="M3" s="25" t="s">
        <v>46</v>
      </c>
      <c r="N3" s="25" t="s">
        <v>47</v>
      </c>
      <c r="O3" s="137" t="s">
        <v>330</v>
      </c>
      <c r="P3" s="140" t="s">
        <v>335</v>
      </c>
      <c r="Q3" s="141"/>
      <c r="R3" s="141"/>
      <c r="S3" s="141"/>
      <c r="T3" s="141"/>
      <c r="U3" s="141"/>
      <c r="V3" s="141"/>
      <c r="W3" s="142"/>
    </row>
    <row r="4" spans="1:24" ht="20.399999999999999" customHeight="1" thickTop="1" thickBot="1" x14ac:dyDescent="0.3">
      <c r="A4" s="171"/>
      <c r="B4" s="152"/>
      <c r="C4" s="152"/>
      <c r="D4" s="23">
        <v>1</v>
      </c>
      <c r="E4" s="23">
        <v>1</v>
      </c>
      <c r="F4" s="31">
        <v>0.2</v>
      </c>
      <c r="G4" s="23">
        <v>5</v>
      </c>
      <c r="H4" s="23">
        <v>10</v>
      </c>
      <c r="I4" s="23"/>
      <c r="J4" s="23"/>
      <c r="K4" s="23"/>
      <c r="L4" s="23"/>
      <c r="M4" s="23"/>
      <c r="N4" s="23"/>
      <c r="O4" s="138"/>
      <c r="P4" s="143"/>
      <c r="Q4" s="133"/>
      <c r="R4" s="133"/>
      <c r="S4" s="133"/>
      <c r="T4" s="133"/>
      <c r="U4" s="133"/>
      <c r="V4" s="133"/>
      <c r="W4" s="144"/>
    </row>
    <row r="5" spans="1:24" ht="20.399999999999999" customHeight="1" thickTop="1" thickBot="1" x14ac:dyDescent="0.3">
      <c r="A5" s="171"/>
      <c r="B5" s="172" t="s">
        <v>58</v>
      </c>
      <c r="C5" s="172"/>
      <c r="D5" s="148" t="s">
        <v>331</v>
      </c>
      <c r="E5" s="149"/>
      <c r="F5" s="149"/>
      <c r="G5" s="149"/>
      <c r="H5" s="149"/>
      <c r="I5" s="149"/>
      <c r="J5" s="149"/>
      <c r="K5" s="149"/>
      <c r="L5" s="149"/>
      <c r="M5" s="149"/>
      <c r="N5" s="150"/>
      <c r="O5" s="138"/>
      <c r="P5" s="143"/>
      <c r="Q5" s="133"/>
      <c r="R5" s="133"/>
      <c r="S5" s="133"/>
      <c r="T5" s="133"/>
      <c r="U5" s="133"/>
      <c r="V5" s="133"/>
      <c r="W5" s="144"/>
    </row>
    <row r="6" spans="1:24" ht="20.399999999999999" customHeight="1" thickTop="1" thickBot="1" x14ac:dyDescent="0.3">
      <c r="A6" s="171"/>
      <c r="B6" s="172"/>
      <c r="C6" s="172"/>
      <c r="D6" s="173" t="s">
        <v>52</v>
      </c>
      <c r="E6" s="174"/>
      <c r="F6" s="174"/>
      <c r="G6" s="174"/>
      <c r="H6" s="174"/>
      <c r="I6" s="174"/>
      <c r="J6" s="174"/>
      <c r="K6" s="174"/>
      <c r="L6" s="174"/>
      <c r="M6" s="174"/>
      <c r="N6" s="175"/>
      <c r="O6" s="139"/>
      <c r="P6" s="145"/>
      <c r="Q6" s="146"/>
      <c r="R6" s="146"/>
      <c r="S6" s="146"/>
      <c r="T6" s="146"/>
      <c r="U6" s="146"/>
      <c r="V6" s="146"/>
      <c r="W6" s="147"/>
    </row>
    <row r="7" spans="1:24" ht="20.399999999999999" customHeight="1" thickTop="1" thickBot="1" x14ac:dyDescent="0.3">
      <c r="A7" s="171" t="s">
        <v>27</v>
      </c>
      <c r="B7" s="152" t="s">
        <v>36</v>
      </c>
      <c r="C7" s="152"/>
      <c r="D7" s="25" t="s">
        <v>110</v>
      </c>
      <c r="E7" s="25" t="s">
        <v>41</v>
      </c>
      <c r="F7" s="25" t="s">
        <v>128</v>
      </c>
      <c r="G7" s="25" t="s">
        <v>129</v>
      </c>
      <c r="H7" s="25" t="s">
        <v>37</v>
      </c>
      <c r="I7" s="25" t="s">
        <v>42</v>
      </c>
      <c r="J7" s="25" t="s">
        <v>43</v>
      </c>
      <c r="K7" s="25" t="s">
        <v>44</v>
      </c>
      <c r="L7" s="25" t="s">
        <v>45</v>
      </c>
      <c r="M7" s="25" t="s">
        <v>46</v>
      </c>
      <c r="N7" s="25" t="s">
        <v>47</v>
      </c>
      <c r="O7" s="137" t="s">
        <v>330</v>
      </c>
      <c r="P7" s="140" t="s">
        <v>334</v>
      </c>
      <c r="Q7" s="141"/>
      <c r="R7" s="141"/>
      <c r="S7" s="141"/>
      <c r="T7" s="141"/>
      <c r="U7" s="141"/>
      <c r="V7" s="141"/>
      <c r="W7" s="142"/>
    </row>
    <row r="8" spans="1:24" ht="20.399999999999999" customHeight="1" thickTop="1" thickBot="1" x14ac:dyDescent="0.3">
      <c r="A8" s="171"/>
      <c r="B8" s="152"/>
      <c r="C8" s="152"/>
      <c r="D8" s="23">
        <v>1</v>
      </c>
      <c r="E8" s="23">
        <v>2</v>
      </c>
      <c r="F8" s="31">
        <v>0.3</v>
      </c>
      <c r="G8" s="23">
        <v>8</v>
      </c>
      <c r="H8" s="23">
        <v>20</v>
      </c>
      <c r="I8" s="23"/>
      <c r="J8" s="23"/>
      <c r="K8" s="23"/>
      <c r="L8" s="23"/>
      <c r="M8" s="23"/>
      <c r="N8" s="23"/>
      <c r="O8" s="138"/>
      <c r="P8" s="143"/>
      <c r="Q8" s="133"/>
      <c r="R8" s="133"/>
      <c r="S8" s="133"/>
      <c r="T8" s="133"/>
      <c r="U8" s="133"/>
      <c r="V8" s="133"/>
      <c r="W8" s="144"/>
    </row>
    <row r="9" spans="1:24" ht="20.399999999999999" customHeight="1" thickTop="1" thickBot="1" x14ac:dyDescent="0.3">
      <c r="A9" s="171"/>
      <c r="B9" s="172" t="s">
        <v>59</v>
      </c>
      <c r="C9" s="172"/>
      <c r="D9" s="148" t="s">
        <v>331</v>
      </c>
      <c r="E9" s="149"/>
      <c r="F9" s="149"/>
      <c r="G9" s="149"/>
      <c r="H9" s="149"/>
      <c r="I9" s="149"/>
      <c r="J9" s="149"/>
      <c r="K9" s="149"/>
      <c r="L9" s="149"/>
      <c r="M9" s="149"/>
      <c r="N9" s="150"/>
      <c r="O9" s="138"/>
      <c r="P9" s="143"/>
      <c r="Q9" s="133"/>
      <c r="R9" s="133"/>
      <c r="S9" s="133"/>
      <c r="T9" s="133"/>
      <c r="U9" s="133"/>
      <c r="V9" s="133"/>
      <c r="W9" s="144"/>
    </row>
    <row r="10" spans="1:24" ht="20.399999999999999" customHeight="1" thickTop="1" thickBot="1" x14ac:dyDescent="0.3">
      <c r="A10" s="171"/>
      <c r="B10" s="172"/>
      <c r="C10" s="172"/>
      <c r="D10" s="173" t="s">
        <v>52</v>
      </c>
      <c r="E10" s="174"/>
      <c r="F10" s="174"/>
      <c r="G10" s="174"/>
      <c r="H10" s="174"/>
      <c r="I10" s="174"/>
      <c r="J10" s="174"/>
      <c r="K10" s="174"/>
      <c r="L10" s="174"/>
      <c r="M10" s="174"/>
      <c r="N10" s="175"/>
      <c r="O10" s="139"/>
      <c r="P10" s="145"/>
      <c r="Q10" s="146"/>
      <c r="R10" s="146"/>
      <c r="S10" s="146"/>
      <c r="T10" s="146"/>
      <c r="U10" s="146"/>
      <c r="V10" s="146"/>
      <c r="W10" s="147"/>
    </row>
    <row r="11" spans="1:24" ht="20.399999999999999" customHeight="1" thickTop="1" thickBot="1" x14ac:dyDescent="0.3">
      <c r="A11" s="171" t="s">
        <v>28</v>
      </c>
      <c r="B11" s="152" t="s">
        <v>36</v>
      </c>
      <c r="C11" s="152"/>
      <c r="D11" s="25" t="s">
        <v>110</v>
      </c>
      <c r="E11" s="25" t="s">
        <v>41</v>
      </c>
      <c r="F11" s="25" t="s">
        <v>128</v>
      </c>
      <c r="G11" s="25" t="s">
        <v>129</v>
      </c>
      <c r="H11" s="25" t="s">
        <v>37</v>
      </c>
      <c r="I11" s="25" t="s">
        <v>42</v>
      </c>
      <c r="J11" s="25" t="s">
        <v>43</v>
      </c>
      <c r="K11" s="25" t="s">
        <v>44</v>
      </c>
      <c r="L11" s="25" t="s">
        <v>45</v>
      </c>
      <c r="M11" s="25" t="s">
        <v>46</v>
      </c>
      <c r="N11" s="25" t="s">
        <v>47</v>
      </c>
      <c r="O11" s="137" t="s">
        <v>330</v>
      </c>
      <c r="P11" s="140" t="s">
        <v>335</v>
      </c>
      <c r="Q11" s="141"/>
      <c r="R11" s="141"/>
      <c r="S11" s="141"/>
      <c r="T11" s="141"/>
      <c r="U11" s="141"/>
      <c r="V11" s="141"/>
      <c r="W11" s="142"/>
      <c r="X11" s="30"/>
    </row>
    <row r="12" spans="1:24" ht="20.399999999999999" customHeight="1" thickTop="1" thickBot="1" x14ac:dyDescent="0.3">
      <c r="A12" s="171"/>
      <c r="B12" s="152"/>
      <c r="C12" s="152"/>
      <c r="D12" s="23">
        <v>1</v>
      </c>
      <c r="E12" s="23">
        <v>3</v>
      </c>
      <c r="F12" s="31">
        <v>0.4</v>
      </c>
      <c r="G12" s="23">
        <v>10</v>
      </c>
      <c r="H12" s="23">
        <v>30</v>
      </c>
      <c r="I12" s="23"/>
      <c r="J12" s="23"/>
      <c r="K12" s="23"/>
      <c r="L12" s="23"/>
      <c r="M12" s="23"/>
      <c r="N12" s="23"/>
      <c r="O12" s="138"/>
      <c r="P12" s="143"/>
      <c r="Q12" s="133"/>
      <c r="R12" s="133"/>
      <c r="S12" s="133"/>
      <c r="T12" s="133"/>
      <c r="U12" s="133"/>
      <c r="V12" s="133"/>
      <c r="W12" s="144"/>
      <c r="X12" s="28"/>
    </row>
    <row r="13" spans="1:24" ht="20.399999999999999" customHeight="1" thickTop="1" thickBot="1" x14ac:dyDescent="0.3">
      <c r="A13" s="171"/>
      <c r="B13" s="172" t="s">
        <v>60</v>
      </c>
      <c r="C13" s="172"/>
      <c r="D13" s="148" t="s">
        <v>331</v>
      </c>
      <c r="E13" s="149"/>
      <c r="F13" s="149"/>
      <c r="G13" s="149"/>
      <c r="H13" s="149"/>
      <c r="I13" s="149"/>
      <c r="J13" s="149"/>
      <c r="K13" s="149"/>
      <c r="L13" s="149"/>
      <c r="M13" s="149"/>
      <c r="N13" s="150"/>
      <c r="O13" s="138"/>
      <c r="P13" s="143"/>
      <c r="Q13" s="133"/>
      <c r="R13" s="133"/>
      <c r="S13" s="133"/>
      <c r="T13" s="133"/>
      <c r="U13" s="133"/>
      <c r="V13" s="133"/>
      <c r="W13" s="144"/>
    </row>
    <row r="14" spans="1:24" ht="20.399999999999999" customHeight="1" thickTop="1" thickBot="1" x14ac:dyDescent="0.3">
      <c r="A14" s="171"/>
      <c r="B14" s="172"/>
      <c r="C14" s="172"/>
      <c r="D14" s="173" t="s">
        <v>52</v>
      </c>
      <c r="E14" s="174"/>
      <c r="F14" s="174"/>
      <c r="G14" s="174"/>
      <c r="H14" s="174"/>
      <c r="I14" s="174"/>
      <c r="J14" s="174"/>
      <c r="K14" s="174"/>
      <c r="L14" s="174"/>
      <c r="M14" s="174"/>
      <c r="N14" s="175"/>
      <c r="O14" s="139"/>
      <c r="P14" s="145"/>
      <c r="Q14" s="146"/>
      <c r="R14" s="146"/>
      <c r="S14" s="146"/>
      <c r="T14" s="146"/>
      <c r="U14" s="146"/>
      <c r="V14" s="146"/>
      <c r="W14" s="147"/>
    </row>
    <row r="15" spans="1:24" ht="20.399999999999999" customHeight="1" thickTop="1" thickBot="1" x14ac:dyDescent="0.3">
      <c r="A15" s="171" t="s">
        <v>29</v>
      </c>
      <c r="B15" s="152" t="s">
        <v>36</v>
      </c>
      <c r="C15" s="152"/>
      <c r="D15" s="25" t="s">
        <v>110</v>
      </c>
      <c r="E15" s="25" t="s">
        <v>41</v>
      </c>
      <c r="F15" s="25" t="s">
        <v>128</v>
      </c>
      <c r="G15" s="25" t="s">
        <v>129</v>
      </c>
      <c r="H15" s="25" t="s">
        <v>37</v>
      </c>
      <c r="I15" s="25" t="s">
        <v>42</v>
      </c>
      <c r="J15" s="25" t="s">
        <v>43</v>
      </c>
      <c r="K15" s="25" t="s">
        <v>44</v>
      </c>
      <c r="L15" s="25" t="s">
        <v>45</v>
      </c>
      <c r="M15" s="25" t="s">
        <v>46</v>
      </c>
      <c r="N15" s="25" t="s">
        <v>47</v>
      </c>
      <c r="O15" s="137" t="s">
        <v>330</v>
      </c>
      <c r="P15" s="140" t="s">
        <v>335</v>
      </c>
      <c r="Q15" s="141"/>
      <c r="R15" s="141"/>
      <c r="S15" s="141"/>
      <c r="T15" s="141"/>
      <c r="U15" s="141"/>
      <c r="V15" s="141"/>
      <c r="W15" s="142"/>
    </row>
    <row r="16" spans="1:24" ht="20.399999999999999" customHeight="1" thickTop="1" thickBot="1" x14ac:dyDescent="0.3">
      <c r="A16" s="171"/>
      <c r="B16" s="152"/>
      <c r="C16" s="152"/>
      <c r="D16" s="23">
        <v>1</v>
      </c>
      <c r="E16" s="23">
        <v>2</v>
      </c>
      <c r="F16" s="31">
        <v>0.3</v>
      </c>
      <c r="G16" s="23">
        <v>8</v>
      </c>
      <c r="H16" s="23">
        <v>20</v>
      </c>
      <c r="I16" s="23"/>
      <c r="J16" s="23"/>
      <c r="K16" s="23"/>
      <c r="L16" s="23"/>
      <c r="M16" s="23"/>
      <c r="N16" s="23"/>
      <c r="O16" s="138"/>
      <c r="P16" s="143"/>
      <c r="Q16" s="133"/>
      <c r="R16" s="133"/>
      <c r="S16" s="133"/>
      <c r="T16" s="133"/>
      <c r="U16" s="133"/>
      <c r="V16" s="133"/>
      <c r="W16" s="144"/>
    </row>
    <row r="17" spans="1:23" ht="20.399999999999999" customHeight="1" thickTop="1" thickBot="1" x14ac:dyDescent="0.3">
      <c r="A17" s="171"/>
      <c r="B17" s="172" t="s">
        <v>61</v>
      </c>
      <c r="C17" s="172"/>
      <c r="D17" s="148" t="s">
        <v>331</v>
      </c>
      <c r="E17" s="149"/>
      <c r="F17" s="149"/>
      <c r="G17" s="149"/>
      <c r="H17" s="149"/>
      <c r="I17" s="149"/>
      <c r="J17" s="149"/>
      <c r="K17" s="149"/>
      <c r="L17" s="149"/>
      <c r="M17" s="149"/>
      <c r="N17" s="150"/>
      <c r="O17" s="138"/>
      <c r="P17" s="143"/>
      <c r="Q17" s="133"/>
      <c r="R17" s="133"/>
      <c r="S17" s="133"/>
      <c r="T17" s="133"/>
      <c r="U17" s="133"/>
      <c r="V17" s="133"/>
      <c r="W17" s="144"/>
    </row>
    <row r="18" spans="1:23" ht="20.399999999999999" customHeight="1" thickTop="1" thickBot="1" x14ac:dyDescent="0.3">
      <c r="A18" s="171"/>
      <c r="B18" s="172"/>
      <c r="C18" s="172"/>
      <c r="D18" s="173" t="s">
        <v>52</v>
      </c>
      <c r="E18" s="174"/>
      <c r="F18" s="174"/>
      <c r="G18" s="174"/>
      <c r="H18" s="174"/>
      <c r="I18" s="174"/>
      <c r="J18" s="174"/>
      <c r="K18" s="174"/>
      <c r="L18" s="174"/>
      <c r="M18" s="174"/>
      <c r="N18" s="175"/>
      <c r="O18" s="139"/>
      <c r="P18" s="145"/>
      <c r="Q18" s="146"/>
      <c r="R18" s="146"/>
      <c r="S18" s="146"/>
      <c r="T18" s="146"/>
      <c r="U18" s="146"/>
      <c r="V18" s="146"/>
      <c r="W18" s="147"/>
    </row>
    <row r="19" spans="1:23" ht="20.399999999999999" customHeight="1" thickTop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dataConsolidate/>
  <mergeCells count="33">
    <mergeCell ref="O7:O10"/>
    <mergeCell ref="P7:W10"/>
    <mergeCell ref="O11:O14"/>
    <mergeCell ref="A1:N2"/>
    <mergeCell ref="A3:A6"/>
    <mergeCell ref="B3:C4"/>
    <mergeCell ref="B9:C10"/>
    <mergeCell ref="A11:A14"/>
    <mergeCell ref="B11:C12"/>
    <mergeCell ref="B5:C6"/>
    <mergeCell ref="A7:A10"/>
    <mergeCell ref="B7:C8"/>
    <mergeCell ref="D6:N6"/>
    <mergeCell ref="D9:N9"/>
    <mergeCell ref="D10:N10"/>
    <mergeCell ref="D5:N5"/>
    <mergeCell ref="P11:W14"/>
    <mergeCell ref="A15:A18"/>
    <mergeCell ref="B15:C16"/>
    <mergeCell ref="B17:C18"/>
    <mergeCell ref="O15:O18"/>
    <mergeCell ref="P15:W18"/>
    <mergeCell ref="D17:N17"/>
    <mergeCell ref="B13:C14"/>
    <mergeCell ref="D18:N18"/>
    <mergeCell ref="D13:N13"/>
    <mergeCell ref="D14:N14"/>
    <mergeCell ref="O1:P2"/>
    <mergeCell ref="Q1:R2"/>
    <mergeCell ref="S1:T2"/>
    <mergeCell ref="U1:W2"/>
    <mergeCell ref="O3:O6"/>
    <mergeCell ref="P3:W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66957-E141-4E8C-AB07-76B896B27D6B}">
  <sheetPr codeName="Sheet5"/>
  <dimension ref="A1:AF35"/>
  <sheetViews>
    <sheetView workbookViewId="0">
      <selection activeCell="P13" sqref="P13"/>
    </sheetView>
  </sheetViews>
  <sheetFormatPr defaultRowHeight="13.8" x14ac:dyDescent="0.25"/>
  <cols>
    <col min="2" max="2" width="8.88671875" customWidth="1"/>
  </cols>
  <sheetData>
    <row r="1" spans="1:32" ht="15" customHeight="1" thickTop="1" thickBot="1" x14ac:dyDescent="0.3">
      <c r="A1" s="183" t="s">
        <v>74</v>
      </c>
      <c r="B1" s="183"/>
      <c r="C1" s="183"/>
      <c r="D1" s="183"/>
      <c r="E1" s="183"/>
      <c r="F1" s="183"/>
      <c r="G1" s="183"/>
      <c r="H1" s="183"/>
      <c r="I1" s="183"/>
      <c r="J1" s="183"/>
      <c r="K1" s="40"/>
      <c r="L1" s="183" t="s">
        <v>32</v>
      </c>
      <c r="M1" s="183"/>
      <c r="N1" s="183"/>
      <c r="O1" s="183"/>
      <c r="P1" s="183"/>
      <c r="Q1" s="183"/>
      <c r="R1" s="183"/>
      <c r="S1" s="183"/>
      <c r="T1" s="183"/>
      <c r="U1" s="183"/>
      <c r="V1" s="40"/>
      <c r="W1" s="183" t="s">
        <v>123</v>
      </c>
      <c r="X1" s="183"/>
      <c r="Y1" s="183"/>
      <c r="Z1" s="183"/>
      <c r="AA1" s="183"/>
      <c r="AB1" s="183"/>
      <c r="AC1" s="183"/>
      <c r="AD1" s="183"/>
      <c r="AE1" s="183"/>
      <c r="AF1" s="183"/>
    </row>
    <row r="2" spans="1:32" ht="15" customHeight="1" thickTop="1" thickBot="1" x14ac:dyDescent="0.3">
      <c r="A2" s="183"/>
      <c r="B2" s="183"/>
      <c r="C2" s="183"/>
      <c r="D2" s="183"/>
      <c r="E2" s="183"/>
      <c r="F2" s="183"/>
      <c r="G2" s="183"/>
      <c r="H2" s="183"/>
      <c r="I2" s="183"/>
      <c r="J2" s="183"/>
      <c r="K2" s="40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40"/>
      <c r="W2" s="183"/>
      <c r="X2" s="183"/>
      <c r="Y2" s="183"/>
      <c r="Z2" s="183"/>
      <c r="AA2" s="183"/>
      <c r="AB2" s="183"/>
      <c r="AC2" s="183"/>
      <c r="AD2" s="183"/>
      <c r="AE2" s="183"/>
      <c r="AF2" s="183"/>
    </row>
    <row r="3" spans="1:32" ht="15" thickTop="1" thickBot="1" x14ac:dyDescent="0.3">
      <c r="A3" s="53" t="s">
        <v>36</v>
      </c>
      <c r="B3" s="53" t="s">
        <v>25</v>
      </c>
      <c r="C3" s="53" t="s">
        <v>70</v>
      </c>
      <c r="D3" s="53" t="s">
        <v>71</v>
      </c>
      <c r="E3" s="53" t="s">
        <v>248</v>
      </c>
      <c r="F3" s="53" t="s">
        <v>249</v>
      </c>
      <c r="G3" s="53" t="s">
        <v>72</v>
      </c>
      <c r="H3" s="182" t="s">
        <v>73</v>
      </c>
      <c r="I3" s="182"/>
      <c r="J3" s="182"/>
      <c r="K3" s="40"/>
      <c r="L3" s="53" t="s">
        <v>36</v>
      </c>
      <c r="M3" s="53" t="s">
        <v>25</v>
      </c>
      <c r="N3" s="53" t="s">
        <v>70</v>
      </c>
      <c r="O3" s="53" t="s">
        <v>71</v>
      </c>
      <c r="P3" s="53" t="s">
        <v>248</v>
      </c>
      <c r="Q3" s="53" t="s">
        <v>249</v>
      </c>
      <c r="R3" s="53" t="s">
        <v>72</v>
      </c>
      <c r="S3" s="182" t="s">
        <v>73</v>
      </c>
      <c r="T3" s="182"/>
      <c r="U3" s="182"/>
      <c r="V3" s="40"/>
      <c r="W3" s="53" t="s">
        <v>36</v>
      </c>
      <c r="X3" s="53" t="s">
        <v>25</v>
      </c>
      <c r="Y3" s="53" t="s">
        <v>70</v>
      </c>
      <c r="Z3" s="53" t="s">
        <v>71</v>
      </c>
      <c r="AA3" s="53" t="s">
        <v>248</v>
      </c>
      <c r="AB3" s="53" t="s">
        <v>249</v>
      </c>
      <c r="AC3" s="53" t="s">
        <v>72</v>
      </c>
      <c r="AD3" s="182" t="s">
        <v>73</v>
      </c>
      <c r="AE3" s="182"/>
      <c r="AF3" s="182"/>
    </row>
    <row r="4" spans="1:32" ht="15" thickTop="1" thickBot="1" x14ac:dyDescent="0.3">
      <c r="A4" s="184" t="s">
        <v>12</v>
      </c>
      <c r="B4" s="174"/>
      <c r="C4" s="174"/>
      <c r="D4" s="174"/>
      <c r="E4" s="174"/>
      <c r="F4" s="174"/>
      <c r="G4" s="174"/>
      <c r="H4" s="174"/>
      <c r="I4" s="174"/>
      <c r="J4" s="175"/>
      <c r="L4" s="184" t="s">
        <v>305</v>
      </c>
      <c r="M4" s="174"/>
      <c r="N4" s="174"/>
      <c r="O4" s="174"/>
      <c r="P4" s="174"/>
      <c r="Q4" s="174"/>
      <c r="R4" s="174"/>
      <c r="S4" s="174"/>
      <c r="T4" s="174"/>
      <c r="U4" s="175"/>
      <c r="W4" s="51" t="s">
        <v>317</v>
      </c>
      <c r="X4" s="51" t="s">
        <v>120</v>
      </c>
      <c r="Y4" s="51">
        <f ca="1">LOOKUP(INDIRECT("rc[-1]",),INDIRECT("总表"&amp;"!A29:A34"),INDIRECT("总表"&amp;"!B29:B34"))</f>
        <v>30</v>
      </c>
      <c r="Z4" s="51">
        <v>30</v>
      </c>
      <c r="AA4" s="51"/>
      <c r="AB4" s="51"/>
      <c r="AC4" s="52">
        <f ca="1">IF(SUM(Y4:AA4)&lt;=50,SUM(Y4:AA4),IF(SUM(Y4:AA4)&lt;=80,(SUM(Y4:AA4)-50)*0.7+50,(SUM(Y4:AA4)-80)*0.4+71))+AB4</f>
        <v>57</v>
      </c>
      <c r="AD4" s="51">
        <v>0</v>
      </c>
      <c r="AE4" s="51" t="s">
        <v>18</v>
      </c>
      <c r="AF4" s="23">
        <f t="shared" ref="AF4:AF28" si="0">IF(Z4&lt;10,"6",IF(Z4&lt;20,"9",IF(Z4&lt;30,"12",18)))</f>
        <v>18</v>
      </c>
    </row>
    <row r="5" spans="1:32" ht="15" thickTop="1" thickBot="1" x14ac:dyDescent="0.3">
      <c r="A5" s="23" t="s">
        <v>75</v>
      </c>
      <c r="B5" s="23" t="s">
        <v>12</v>
      </c>
      <c r="C5" s="23">
        <f ca="1">LOOKUP(INDIRECT("rc[-1]",),INDIRECT("总表"&amp;"!A29:A34"),INDIRECT("总表"&amp;"!B29:B34"))</f>
        <v>50</v>
      </c>
      <c r="D5" s="23">
        <v>1</v>
      </c>
      <c r="E5" s="23"/>
      <c r="F5" s="23"/>
      <c r="G5" s="52">
        <f ca="1">IF(SUM(C5:E5)&lt;=50,SUM(C5:E5),IF(SUM(C5:E5)&lt;=80,(SUM(C5:E5)-50)*0.7+50,(SUM(C5:E5)-80)*0.4+71))+F5</f>
        <v>50.7</v>
      </c>
      <c r="H5" s="23">
        <v>0</v>
      </c>
      <c r="I5" s="23" t="s">
        <v>18</v>
      </c>
      <c r="J5" s="23" t="str">
        <f t="shared" ref="J5:J13" si="1">IF(D5&lt;10,"6",IF(D5&lt;20,"9",IF(D5&lt;30,"12",18)))</f>
        <v>6</v>
      </c>
      <c r="L5" s="23" t="s">
        <v>101</v>
      </c>
      <c r="M5" s="23" t="s">
        <v>51</v>
      </c>
      <c r="N5" s="23">
        <f ca="1">LOOKUP(INDIRECT("rc[-1]",),INDIRECT("总表"&amp;"!A29:A34"),INDIRECT("总表"&amp;"!B29:B34"))</f>
        <v>50</v>
      </c>
      <c r="O5" s="23">
        <v>1</v>
      </c>
      <c r="P5" s="23"/>
      <c r="Q5" s="23"/>
      <c r="R5" s="52">
        <f ca="1">IF(SUM(N5:P5)&lt;=50,SUM(N5:P5),IF(SUM(N5:P5)&lt;=80,(SUM(N5:P5)-50)*0.7+50,(SUM(N5:P5)-80)*0.4+71))+Q5</f>
        <v>50.7</v>
      </c>
      <c r="S5" s="23">
        <v>0</v>
      </c>
      <c r="T5" s="23" t="s">
        <v>18</v>
      </c>
      <c r="U5" s="23" t="str">
        <f t="shared" ref="U5:U32" si="2">IF(O5&lt;10,"6",IF(O5&lt;20,"9",IF(O5&lt;30,"12",18)))</f>
        <v>6</v>
      </c>
      <c r="W5" s="51" t="s">
        <v>318</v>
      </c>
      <c r="X5" s="51" t="s">
        <v>120</v>
      </c>
      <c r="Y5" s="51">
        <f t="shared" ref="Y5:Y28" ca="1" si="3">LOOKUP(INDIRECT("rc[-1]",),INDIRECT("总表"&amp;"!A29:A34"),INDIRECT("总表"&amp;"!B29:B34"))</f>
        <v>30</v>
      </c>
      <c r="Z5" s="51">
        <v>30</v>
      </c>
      <c r="AA5" s="51"/>
      <c r="AB5" s="51"/>
      <c r="AC5" s="52">
        <f t="shared" ref="AC5:AC28" ca="1" si="4">IF(SUM(Y5:AA5)&lt;=50,SUM(Y5:AA5),IF(SUM(Y5:AA5)&lt;=80,(SUM(Y5:AA5)-50)*0.7+50,(SUM(Y5:AA5)-80)*0.4+71))+AB5</f>
        <v>57</v>
      </c>
      <c r="AD5" s="51">
        <v>0</v>
      </c>
      <c r="AE5" s="51" t="s">
        <v>18</v>
      </c>
      <c r="AF5" s="23">
        <f t="shared" si="0"/>
        <v>18</v>
      </c>
    </row>
    <row r="6" spans="1:32" ht="15" thickTop="1" thickBot="1" x14ac:dyDescent="0.3">
      <c r="A6" s="23" t="s">
        <v>76</v>
      </c>
      <c r="B6" s="23" t="s">
        <v>51</v>
      </c>
      <c r="C6" s="23">
        <f t="shared" ref="C6:C7" ca="1" si="5">LOOKUP(INDIRECT("rc[-1]",),INDIRECT("总表"&amp;"!A29:A34"),INDIRECT("总表"&amp;"!B29:B34"))</f>
        <v>50</v>
      </c>
      <c r="D6" s="23">
        <v>1</v>
      </c>
      <c r="E6" s="23"/>
      <c r="F6" s="23"/>
      <c r="G6" s="52">
        <f t="shared" ref="G6:G7" ca="1" si="6">IF(SUM(C6:E6)&lt;=50,SUM(C6:E6),IF(SUM(C6:E6)&lt;=80,(SUM(C6:E6)-50)*0.7+50,(SUM(C6:E6)-80)*0.4+71))+F6</f>
        <v>50.7</v>
      </c>
      <c r="H6" s="23">
        <v>0</v>
      </c>
      <c r="I6" s="23" t="s">
        <v>18</v>
      </c>
      <c r="J6" s="23" t="str">
        <f t="shared" si="1"/>
        <v>6</v>
      </c>
      <c r="L6" s="23" t="s">
        <v>102</v>
      </c>
      <c r="M6" s="23" t="s">
        <v>13</v>
      </c>
      <c r="N6" s="23">
        <f t="shared" ref="N6:N9" ca="1" si="7">LOOKUP(INDIRECT("rc[-1]",),INDIRECT("总表"&amp;"!A29:A34"),INDIRECT("总表"&amp;"!B29:B34"))</f>
        <v>50</v>
      </c>
      <c r="O6" s="23">
        <v>1</v>
      </c>
      <c r="P6" s="23"/>
      <c r="Q6" s="23"/>
      <c r="R6" s="52">
        <f t="shared" ref="R6:R9" ca="1" si="8">IF(SUM(N6:P6)&lt;=50,SUM(N6:P6),IF(SUM(N6:P6)&lt;=80,(SUM(N6:P6)-50)*0.7+50,(SUM(N6:P6)-80)*0.4+71))+Q6</f>
        <v>50.7</v>
      </c>
      <c r="S6" s="23">
        <v>0</v>
      </c>
      <c r="T6" s="23" t="s">
        <v>18</v>
      </c>
      <c r="U6" s="23" t="str">
        <f t="shared" si="2"/>
        <v>6</v>
      </c>
      <c r="W6" s="51"/>
      <c r="X6" s="51" t="s">
        <v>120</v>
      </c>
      <c r="Y6" s="51">
        <f t="shared" ca="1" si="3"/>
        <v>30</v>
      </c>
      <c r="Z6" s="51">
        <v>1</v>
      </c>
      <c r="AA6" s="51"/>
      <c r="AB6" s="51"/>
      <c r="AC6" s="52">
        <f t="shared" ca="1" si="4"/>
        <v>31</v>
      </c>
      <c r="AD6" s="51">
        <v>0</v>
      </c>
      <c r="AE6" s="51" t="s">
        <v>18</v>
      </c>
      <c r="AF6" s="23" t="str">
        <f t="shared" si="0"/>
        <v>6</v>
      </c>
    </row>
    <row r="7" spans="1:32" ht="15" thickTop="1" thickBot="1" x14ac:dyDescent="0.3">
      <c r="A7" s="23" t="s">
        <v>118</v>
      </c>
      <c r="B7" s="23" t="s">
        <v>12</v>
      </c>
      <c r="C7" s="23">
        <f t="shared" ca="1" si="5"/>
        <v>50</v>
      </c>
      <c r="D7" s="23">
        <v>1</v>
      </c>
      <c r="E7" s="23"/>
      <c r="F7" s="23"/>
      <c r="G7" s="52">
        <f t="shared" ca="1" si="6"/>
        <v>50.7</v>
      </c>
      <c r="H7" s="23">
        <v>0</v>
      </c>
      <c r="I7" s="23" t="s">
        <v>18</v>
      </c>
      <c r="J7" s="23" t="str">
        <f t="shared" si="1"/>
        <v>6</v>
      </c>
      <c r="L7" s="23" t="s">
        <v>301</v>
      </c>
      <c r="M7" s="23" t="s">
        <v>12</v>
      </c>
      <c r="N7" s="23">
        <f t="shared" ca="1" si="7"/>
        <v>50</v>
      </c>
      <c r="O7" s="23">
        <v>1</v>
      </c>
      <c r="P7" s="23"/>
      <c r="Q7" s="23"/>
      <c r="R7" s="52">
        <f t="shared" ca="1" si="8"/>
        <v>50.7</v>
      </c>
      <c r="S7" s="23">
        <v>0</v>
      </c>
      <c r="T7" s="23" t="s">
        <v>18</v>
      </c>
      <c r="U7" s="23" t="str">
        <f t="shared" si="2"/>
        <v>6</v>
      </c>
      <c r="W7" s="51"/>
      <c r="X7" s="51" t="s">
        <v>120</v>
      </c>
      <c r="Y7" s="51">
        <f t="shared" ca="1" si="3"/>
        <v>30</v>
      </c>
      <c r="Z7" s="51">
        <v>1</v>
      </c>
      <c r="AA7" s="51"/>
      <c r="AB7" s="51"/>
      <c r="AC7" s="52">
        <f t="shared" ca="1" si="4"/>
        <v>31</v>
      </c>
      <c r="AD7" s="51">
        <v>0</v>
      </c>
      <c r="AE7" s="51" t="s">
        <v>18</v>
      </c>
      <c r="AF7" s="23" t="str">
        <f t="shared" si="0"/>
        <v>6</v>
      </c>
    </row>
    <row r="8" spans="1:32" ht="15" thickTop="1" thickBot="1" x14ac:dyDescent="0.3">
      <c r="A8" s="184" t="s">
        <v>13</v>
      </c>
      <c r="B8" s="185"/>
      <c r="C8" s="185"/>
      <c r="D8" s="185"/>
      <c r="E8" s="185"/>
      <c r="F8" s="185"/>
      <c r="G8" s="185"/>
      <c r="H8" s="185"/>
      <c r="I8" s="185"/>
      <c r="J8" s="186"/>
      <c r="L8" s="51" t="s">
        <v>158</v>
      </c>
      <c r="M8" s="23" t="s">
        <v>62</v>
      </c>
      <c r="N8" s="23">
        <f t="shared" ca="1" si="7"/>
        <v>50</v>
      </c>
      <c r="O8" s="23">
        <v>1</v>
      </c>
      <c r="P8" s="23"/>
      <c r="Q8" s="23"/>
      <c r="R8" s="52">
        <f t="shared" ca="1" si="8"/>
        <v>50.7</v>
      </c>
      <c r="S8" s="23">
        <v>0</v>
      </c>
      <c r="T8" s="23" t="s">
        <v>18</v>
      </c>
      <c r="U8" s="23" t="str">
        <f t="shared" si="2"/>
        <v>6</v>
      </c>
      <c r="W8" s="51"/>
      <c r="X8" s="51" t="s">
        <v>120</v>
      </c>
      <c r="Y8" s="51">
        <f t="shared" ca="1" si="3"/>
        <v>30</v>
      </c>
      <c r="Z8" s="51">
        <v>1</v>
      </c>
      <c r="AA8" s="51"/>
      <c r="AB8" s="51"/>
      <c r="AC8" s="52">
        <f t="shared" ca="1" si="4"/>
        <v>31</v>
      </c>
      <c r="AD8" s="51">
        <v>0</v>
      </c>
      <c r="AE8" s="51" t="s">
        <v>18</v>
      </c>
      <c r="AF8" s="23" t="str">
        <f t="shared" si="0"/>
        <v>6</v>
      </c>
    </row>
    <row r="9" spans="1:32" ht="15" customHeight="1" thickTop="1" thickBot="1" x14ac:dyDescent="0.3">
      <c r="A9" s="23" t="s">
        <v>80</v>
      </c>
      <c r="B9" s="23" t="s">
        <v>13</v>
      </c>
      <c r="C9" s="23">
        <f ca="1">LOOKUP(INDIRECT("rc[-1]",),INDIRECT("总表"&amp;"!A29:A34"),INDIRECT("总表"&amp;"!B29:B34"))</f>
        <v>50</v>
      </c>
      <c r="D9" s="23">
        <v>1</v>
      </c>
      <c r="E9" s="23"/>
      <c r="F9" s="23"/>
      <c r="G9" s="52">
        <f ca="1">IF(SUM(C9:E9)&lt;=50,SUM(C9:E9),IF(SUM(C9:E9)&lt;=80,(SUM(C9:E9)-50)*0.7+50,(SUM(C9:E9)-80)*0.4+71))+F9</f>
        <v>50.7</v>
      </c>
      <c r="H9" s="23">
        <v>0</v>
      </c>
      <c r="I9" s="23" t="s">
        <v>18</v>
      </c>
      <c r="J9" s="23" t="str">
        <f t="shared" si="1"/>
        <v>6</v>
      </c>
      <c r="L9" s="23" t="s">
        <v>157</v>
      </c>
      <c r="M9" s="23" t="s">
        <v>13</v>
      </c>
      <c r="N9" s="23">
        <f t="shared" ca="1" si="7"/>
        <v>50</v>
      </c>
      <c r="O9" s="23">
        <v>1</v>
      </c>
      <c r="P9" s="23"/>
      <c r="Q9" s="23"/>
      <c r="R9" s="52">
        <f t="shared" ca="1" si="8"/>
        <v>50.7</v>
      </c>
      <c r="S9" s="23">
        <v>0</v>
      </c>
      <c r="T9" s="23" t="s">
        <v>18</v>
      </c>
      <c r="U9" s="23" t="str">
        <f t="shared" si="2"/>
        <v>6</v>
      </c>
      <c r="W9" s="51"/>
      <c r="X9" s="51" t="s">
        <v>120</v>
      </c>
      <c r="Y9" s="51">
        <f t="shared" ca="1" si="3"/>
        <v>30</v>
      </c>
      <c r="Z9" s="51">
        <v>1</v>
      </c>
      <c r="AA9" s="51"/>
      <c r="AB9" s="51"/>
      <c r="AC9" s="52">
        <f t="shared" ca="1" si="4"/>
        <v>31</v>
      </c>
      <c r="AD9" s="51">
        <v>0</v>
      </c>
      <c r="AE9" s="51" t="s">
        <v>18</v>
      </c>
      <c r="AF9" s="23" t="str">
        <f t="shared" si="0"/>
        <v>6</v>
      </c>
    </row>
    <row r="10" spans="1:32" ht="15" customHeight="1" thickTop="1" thickBot="1" x14ac:dyDescent="0.3">
      <c r="A10" s="23" t="s">
        <v>81</v>
      </c>
      <c r="B10" s="23" t="s">
        <v>62</v>
      </c>
      <c r="C10" s="23">
        <f t="shared" ref="C10:C13" ca="1" si="9">LOOKUP(INDIRECT("rc[-1]",),INDIRECT("总表"&amp;"!A29:A34"),INDIRECT("总表"&amp;"!B29:B34"))</f>
        <v>50</v>
      </c>
      <c r="D10" s="23">
        <v>1</v>
      </c>
      <c r="E10" s="23"/>
      <c r="F10" s="23"/>
      <c r="G10" s="52">
        <f t="shared" ref="G10:G13" ca="1" si="10">IF(SUM(C10:E10)&lt;=50,SUM(C10:E10),IF(SUM(C10:E10)&lt;=80,(SUM(C10:E10)-50)*0.7+50,(SUM(C10:E10)-80)*0.4+71))+F10</f>
        <v>50.7</v>
      </c>
      <c r="H10" s="23">
        <v>0</v>
      </c>
      <c r="I10" s="23" t="s">
        <v>18</v>
      </c>
      <c r="J10" s="23" t="str">
        <f t="shared" si="1"/>
        <v>6</v>
      </c>
      <c r="L10" s="184" t="s">
        <v>306</v>
      </c>
      <c r="M10" s="185"/>
      <c r="N10" s="185"/>
      <c r="O10" s="185"/>
      <c r="P10" s="185"/>
      <c r="Q10" s="185"/>
      <c r="R10" s="185"/>
      <c r="S10" s="185"/>
      <c r="T10" s="185"/>
      <c r="U10" s="186"/>
      <c r="W10" s="51"/>
      <c r="X10" s="51" t="s">
        <v>120</v>
      </c>
      <c r="Y10" s="51">
        <f t="shared" ca="1" si="3"/>
        <v>30</v>
      </c>
      <c r="Z10" s="51">
        <v>1</v>
      </c>
      <c r="AA10" s="51"/>
      <c r="AB10" s="51"/>
      <c r="AC10" s="52">
        <f t="shared" ca="1" si="4"/>
        <v>31</v>
      </c>
      <c r="AD10" s="51">
        <v>0</v>
      </c>
      <c r="AE10" s="51" t="s">
        <v>18</v>
      </c>
      <c r="AF10" s="23" t="str">
        <f t="shared" si="0"/>
        <v>6</v>
      </c>
    </row>
    <row r="11" spans="1:32" ht="15" customHeight="1" thickTop="1" thickBot="1" x14ac:dyDescent="0.3">
      <c r="A11" s="23" t="s">
        <v>82</v>
      </c>
      <c r="B11" s="23" t="s">
        <v>62</v>
      </c>
      <c r="C11" s="23">
        <f t="shared" ca="1" si="9"/>
        <v>50</v>
      </c>
      <c r="D11" s="23">
        <v>1</v>
      </c>
      <c r="E11" s="23"/>
      <c r="F11" s="23"/>
      <c r="G11" s="52">
        <f t="shared" ca="1" si="10"/>
        <v>50.7</v>
      </c>
      <c r="H11" s="23">
        <v>0</v>
      </c>
      <c r="I11" s="23" t="s">
        <v>18</v>
      </c>
      <c r="J11" s="23" t="str">
        <f t="shared" si="1"/>
        <v>6</v>
      </c>
      <c r="L11" s="23" t="s">
        <v>99</v>
      </c>
      <c r="M11" s="23" t="s">
        <v>51</v>
      </c>
      <c r="N11" s="23">
        <f ca="1">LOOKUP(INDIRECT("rc[-1]",),INDIRECT("总表"&amp;"!A29:A34"),INDIRECT("总表"&amp;"!B29:B34"))</f>
        <v>50</v>
      </c>
      <c r="O11" s="23">
        <v>1</v>
      </c>
      <c r="P11" s="23"/>
      <c r="Q11" s="23"/>
      <c r="R11" s="52">
        <f ca="1">IF(SUM(N11:P11)&lt;=50,SUM(N11:P11),IF(SUM(N11:P11)&lt;=80,(SUM(N11:P11)-50)*0.7+50,(SUM(N11:P11)-80)*0.4+71))+Q11</f>
        <v>50.7</v>
      </c>
      <c r="S11" s="23">
        <v>0</v>
      </c>
      <c r="T11" s="23" t="s">
        <v>18</v>
      </c>
      <c r="U11" s="23" t="str">
        <f t="shared" si="2"/>
        <v>6</v>
      </c>
      <c r="W11" s="51"/>
      <c r="X11" s="51" t="s">
        <v>120</v>
      </c>
      <c r="Y11" s="51">
        <f t="shared" ca="1" si="3"/>
        <v>30</v>
      </c>
      <c r="Z11" s="51">
        <v>1</v>
      </c>
      <c r="AA11" s="51"/>
      <c r="AB11" s="51"/>
      <c r="AC11" s="52">
        <f t="shared" ca="1" si="4"/>
        <v>31</v>
      </c>
      <c r="AD11" s="51">
        <v>0</v>
      </c>
      <c r="AE11" s="51" t="s">
        <v>18</v>
      </c>
      <c r="AF11" s="23" t="str">
        <f t="shared" si="0"/>
        <v>6</v>
      </c>
    </row>
    <row r="12" spans="1:32" ht="15" thickTop="1" thickBot="1" x14ac:dyDescent="0.3">
      <c r="A12" s="23" t="s">
        <v>83</v>
      </c>
      <c r="B12" s="23" t="s">
        <v>62</v>
      </c>
      <c r="C12" s="23">
        <f t="shared" ca="1" si="9"/>
        <v>50</v>
      </c>
      <c r="D12" s="23">
        <v>1</v>
      </c>
      <c r="E12" s="23"/>
      <c r="F12" s="23"/>
      <c r="G12" s="52">
        <f t="shared" ca="1" si="10"/>
        <v>50.7</v>
      </c>
      <c r="H12" s="23">
        <v>0</v>
      </c>
      <c r="I12" s="23" t="s">
        <v>18</v>
      </c>
      <c r="J12" s="23" t="str">
        <f t="shared" si="1"/>
        <v>6</v>
      </c>
      <c r="L12" s="23" t="s">
        <v>131</v>
      </c>
      <c r="M12" s="23" t="s">
        <v>62</v>
      </c>
      <c r="N12" s="23">
        <f t="shared" ref="N12:N14" ca="1" si="11">LOOKUP(INDIRECT("rc[-1]",),INDIRECT("总表"&amp;"!A29:A34"),INDIRECT("总表"&amp;"!B29:B34"))</f>
        <v>50</v>
      </c>
      <c r="O12" s="23">
        <v>1</v>
      </c>
      <c r="P12" s="23"/>
      <c r="Q12" s="23"/>
      <c r="R12" s="52">
        <f t="shared" ref="R12:R14" ca="1" si="12">IF(SUM(N12:P12)&lt;=50,SUM(N12:P12),IF(SUM(N12:P12)&lt;=80,(SUM(N12:P12)-50)*0.7+50,(SUM(N12:P12)-80)*0.4+71))+Q12</f>
        <v>50.7</v>
      </c>
      <c r="S12" s="23">
        <v>0</v>
      </c>
      <c r="T12" s="23" t="s">
        <v>18</v>
      </c>
      <c r="U12" s="23" t="str">
        <f t="shared" si="2"/>
        <v>6</v>
      </c>
      <c r="W12" s="51"/>
      <c r="X12" s="51" t="s">
        <v>120</v>
      </c>
      <c r="Y12" s="51">
        <f t="shared" ca="1" si="3"/>
        <v>30</v>
      </c>
      <c r="Z12" s="51">
        <v>1</v>
      </c>
      <c r="AA12" s="51"/>
      <c r="AB12" s="51"/>
      <c r="AC12" s="52">
        <f t="shared" ca="1" si="4"/>
        <v>31</v>
      </c>
      <c r="AD12" s="51">
        <v>0</v>
      </c>
      <c r="AE12" s="51" t="s">
        <v>18</v>
      </c>
      <c r="AF12" s="23" t="str">
        <f t="shared" si="0"/>
        <v>6</v>
      </c>
    </row>
    <row r="13" spans="1:32" ht="15" thickTop="1" thickBot="1" x14ac:dyDescent="0.3">
      <c r="A13" s="23" t="s">
        <v>144</v>
      </c>
      <c r="B13" s="23" t="s">
        <v>62</v>
      </c>
      <c r="C13" s="23">
        <f t="shared" ca="1" si="9"/>
        <v>50</v>
      </c>
      <c r="D13" s="23">
        <v>1</v>
      </c>
      <c r="E13" s="23"/>
      <c r="F13" s="23"/>
      <c r="G13" s="52">
        <f t="shared" ca="1" si="10"/>
        <v>50.7</v>
      </c>
      <c r="H13" s="23">
        <v>0</v>
      </c>
      <c r="I13" s="23" t="s">
        <v>18</v>
      </c>
      <c r="J13" s="23" t="str">
        <f t="shared" si="1"/>
        <v>6</v>
      </c>
      <c r="L13" s="23" t="s">
        <v>100</v>
      </c>
      <c r="M13" s="23" t="s">
        <v>13</v>
      </c>
      <c r="N13" s="23">
        <f t="shared" ca="1" si="11"/>
        <v>50</v>
      </c>
      <c r="O13" s="23">
        <v>1</v>
      </c>
      <c r="P13" s="23"/>
      <c r="Q13" s="23"/>
      <c r="R13" s="52">
        <f t="shared" ca="1" si="12"/>
        <v>50.7</v>
      </c>
      <c r="S13" s="23">
        <v>0</v>
      </c>
      <c r="T13" s="23" t="s">
        <v>18</v>
      </c>
      <c r="U13" s="23" t="str">
        <f t="shared" si="2"/>
        <v>6</v>
      </c>
      <c r="W13" s="51"/>
      <c r="X13" s="51" t="s">
        <v>120</v>
      </c>
      <c r="Y13" s="51">
        <f t="shared" ca="1" si="3"/>
        <v>30</v>
      </c>
      <c r="Z13" s="51">
        <v>1</v>
      </c>
      <c r="AA13" s="51"/>
      <c r="AB13" s="51"/>
      <c r="AC13" s="52">
        <f t="shared" ca="1" si="4"/>
        <v>31</v>
      </c>
      <c r="AD13" s="51">
        <v>0</v>
      </c>
      <c r="AE13" s="51" t="s">
        <v>18</v>
      </c>
      <c r="AF13" s="23" t="str">
        <f t="shared" si="0"/>
        <v>6</v>
      </c>
    </row>
    <row r="14" spans="1:32" ht="15" thickTop="1" thickBot="1" x14ac:dyDescent="0.3">
      <c r="A14" s="184" t="s">
        <v>14</v>
      </c>
      <c r="B14" s="185"/>
      <c r="C14" s="185"/>
      <c r="D14" s="185"/>
      <c r="E14" s="185"/>
      <c r="F14" s="185"/>
      <c r="G14" s="185"/>
      <c r="H14" s="185"/>
      <c r="I14" s="185"/>
      <c r="J14" s="186"/>
      <c r="L14" s="23" t="s">
        <v>192</v>
      </c>
      <c r="M14" s="23" t="s">
        <v>13</v>
      </c>
      <c r="N14" s="23">
        <f t="shared" ca="1" si="11"/>
        <v>50</v>
      </c>
      <c r="O14" s="23">
        <v>1</v>
      </c>
      <c r="P14" s="23"/>
      <c r="Q14" s="23"/>
      <c r="R14" s="52">
        <f t="shared" ca="1" si="12"/>
        <v>50.7</v>
      </c>
      <c r="S14" s="23">
        <v>0</v>
      </c>
      <c r="T14" s="23" t="s">
        <v>18</v>
      </c>
      <c r="U14" s="23" t="str">
        <f t="shared" si="2"/>
        <v>6</v>
      </c>
      <c r="W14" s="51"/>
      <c r="X14" s="51" t="s">
        <v>120</v>
      </c>
      <c r="Y14" s="51">
        <f t="shared" ca="1" si="3"/>
        <v>30</v>
      </c>
      <c r="Z14" s="51">
        <v>1</v>
      </c>
      <c r="AA14" s="51"/>
      <c r="AB14" s="51"/>
      <c r="AC14" s="52">
        <f t="shared" ca="1" si="4"/>
        <v>31</v>
      </c>
      <c r="AD14" s="51">
        <v>0</v>
      </c>
      <c r="AE14" s="51" t="s">
        <v>18</v>
      </c>
      <c r="AF14" s="23" t="str">
        <f t="shared" si="0"/>
        <v>6</v>
      </c>
    </row>
    <row r="15" spans="1:32" ht="15" thickTop="1" thickBot="1" x14ac:dyDescent="0.3">
      <c r="A15" s="23" t="s">
        <v>85</v>
      </c>
      <c r="B15" s="23" t="s">
        <v>304</v>
      </c>
      <c r="C15" s="23">
        <f ca="1">LOOKUP(INDIRECT("rc[-1]",),INDIRECT("总表"&amp;"!A29:A34"),INDIRECT("总表"&amp;"!B29:B34"))</f>
        <v>40</v>
      </c>
      <c r="D15" s="23">
        <v>1</v>
      </c>
      <c r="E15" s="23"/>
      <c r="F15" s="23"/>
      <c r="G15" s="52">
        <f ca="1">IF(SUM(C15:E15)&lt;=50,SUM(C15:E15),IF(SUM(C15:E15)&lt;=80,(SUM(C15:E15)-50)*0.7+50,(SUM(C15:E15)-80)*0.4+71))+F15</f>
        <v>41</v>
      </c>
      <c r="H15" s="23">
        <v>0</v>
      </c>
      <c r="I15" s="23" t="s">
        <v>18</v>
      </c>
      <c r="J15" s="23" t="str">
        <f t="shared" ref="J15:J16" si="13">IF(D15&lt;10,"6",IF(D15&lt;20,"9",IF(D15&lt;30,"12",18)))</f>
        <v>6</v>
      </c>
      <c r="L15" s="184" t="s">
        <v>307</v>
      </c>
      <c r="M15" s="185"/>
      <c r="N15" s="185"/>
      <c r="O15" s="185"/>
      <c r="P15" s="185"/>
      <c r="Q15" s="185"/>
      <c r="R15" s="185"/>
      <c r="S15" s="185"/>
      <c r="T15" s="185"/>
      <c r="U15" s="186"/>
      <c r="W15" s="51"/>
      <c r="X15" s="51" t="s">
        <v>120</v>
      </c>
      <c r="Y15" s="51">
        <f t="shared" ca="1" si="3"/>
        <v>30</v>
      </c>
      <c r="Z15" s="51">
        <v>1</v>
      </c>
      <c r="AA15" s="51"/>
      <c r="AB15" s="51"/>
      <c r="AC15" s="52">
        <f t="shared" ca="1" si="4"/>
        <v>31</v>
      </c>
      <c r="AD15" s="51">
        <v>0</v>
      </c>
      <c r="AE15" s="51" t="s">
        <v>18</v>
      </c>
      <c r="AF15" s="23" t="str">
        <f t="shared" si="0"/>
        <v>6</v>
      </c>
    </row>
    <row r="16" spans="1:32" ht="15" thickTop="1" thickBot="1" x14ac:dyDescent="0.3">
      <c r="A16" s="23" t="s">
        <v>86</v>
      </c>
      <c r="B16" s="23" t="s">
        <v>304</v>
      </c>
      <c r="C16" s="23">
        <f t="shared" ref="C16:C18" ca="1" si="14">LOOKUP(INDIRECT("rc[-1]",),INDIRECT("总表"&amp;"!A29:A34"),INDIRECT("总表"&amp;"!B29:B34"))</f>
        <v>40</v>
      </c>
      <c r="D16" s="23">
        <v>1</v>
      </c>
      <c r="E16" s="23"/>
      <c r="F16" s="23"/>
      <c r="G16" s="52">
        <f t="shared" ref="G16:G18" ca="1" si="15">IF(SUM(C16:E16)&lt;=50,SUM(C16:E16),IF(SUM(C16:E16)&lt;=80,(SUM(C16:E16)-50)*0.7+50,(SUM(C16:E16)-80)*0.4+71))+F16</f>
        <v>41</v>
      </c>
      <c r="H16" s="23">
        <v>0</v>
      </c>
      <c r="I16" s="23" t="s">
        <v>18</v>
      </c>
      <c r="J16" s="23" t="str">
        <f t="shared" si="13"/>
        <v>6</v>
      </c>
      <c r="L16" s="23" t="s">
        <v>93</v>
      </c>
      <c r="M16" s="23" t="s">
        <v>62</v>
      </c>
      <c r="N16" s="23">
        <f ca="1">LOOKUP(INDIRECT("rc[-1]",),INDIRECT("总表"&amp;"!A29:A34"),INDIRECT("总表"&amp;"!B29:B34"))</f>
        <v>50</v>
      </c>
      <c r="O16" s="23">
        <v>1</v>
      </c>
      <c r="P16" s="23"/>
      <c r="Q16" s="23"/>
      <c r="R16" s="52">
        <f ca="1">IF(SUM(N16:P16)&lt;=50,SUM(N16:P16),IF(SUM(N16:P16)&lt;=80,(SUM(N16:P16)-50)*0.7+50,(SUM(N16:P16)-80)*0.4+71))+Q16</f>
        <v>50.7</v>
      </c>
      <c r="S16" s="23">
        <v>0</v>
      </c>
      <c r="T16" s="23" t="s">
        <v>18</v>
      </c>
      <c r="U16" s="23" t="str">
        <f t="shared" si="2"/>
        <v>6</v>
      </c>
      <c r="W16" s="51"/>
      <c r="X16" s="51" t="s">
        <v>120</v>
      </c>
      <c r="Y16" s="51">
        <f t="shared" ca="1" si="3"/>
        <v>30</v>
      </c>
      <c r="Z16" s="51">
        <v>1</v>
      </c>
      <c r="AA16" s="51"/>
      <c r="AB16" s="51"/>
      <c r="AC16" s="52">
        <f t="shared" ca="1" si="4"/>
        <v>31</v>
      </c>
      <c r="AD16" s="51">
        <v>0</v>
      </c>
      <c r="AE16" s="51" t="s">
        <v>18</v>
      </c>
      <c r="AF16" s="23" t="str">
        <f t="shared" si="0"/>
        <v>6</v>
      </c>
    </row>
    <row r="17" spans="1:32" ht="15" thickTop="1" thickBot="1" x14ac:dyDescent="0.3">
      <c r="A17" s="23" t="s">
        <v>87</v>
      </c>
      <c r="B17" s="23" t="s">
        <v>304</v>
      </c>
      <c r="C17" s="23">
        <f t="shared" ca="1" si="14"/>
        <v>40</v>
      </c>
      <c r="D17" s="23">
        <v>30</v>
      </c>
      <c r="E17" s="23"/>
      <c r="F17" s="23"/>
      <c r="G17" s="52">
        <f t="shared" ca="1" si="15"/>
        <v>64</v>
      </c>
      <c r="H17" s="23">
        <v>0</v>
      </c>
      <c r="I17" s="23" t="s">
        <v>18</v>
      </c>
      <c r="J17" s="23">
        <f>IF(D17&lt;10,"6",IF(D17&lt;20,"9",IF(D17&lt;30,"12",18)))</f>
        <v>18</v>
      </c>
      <c r="L17" s="23" t="s">
        <v>94</v>
      </c>
      <c r="M17" s="23" t="s">
        <v>12</v>
      </c>
      <c r="N17" s="23">
        <f t="shared" ref="N17:N20" ca="1" si="16">LOOKUP(INDIRECT("rc[-1]",),INDIRECT("总表"&amp;"!A29:A34"),INDIRECT("总表"&amp;"!B29:B34"))</f>
        <v>50</v>
      </c>
      <c r="O17" s="23">
        <v>1</v>
      </c>
      <c r="P17" s="23"/>
      <c r="Q17" s="23"/>
      <c r="R17" s="52">
        <f t="shared" ref="R17:R20" ca="1" si="17">IF(SUM(N17:P17)&lt;=50,SUM(N17:P17),IF(SUM(N17:P17)&lt;=80,(SUM(N17:P17)-50)*0.7+50,(SUM(N17:P17)-80)*0.4+71))+Q17</f>
        <v>50.7</v>
      </c>
      <c r="S17" s="23">
        <v>0</v>
      </c>
      <c r="T17" s="23" t="s">
        <v>18</v>
      </c>
      <c r="U17" s="23" t="str">
        <f t="shared" si="2"/>
        <v>6</v>
      </c>
      <c r="W17" s="51"/>
      <c r="X17" s="51" t="s">
        <v>120</v>
      </c>
      <c r="Y17" s="51">
        <f t="shared" ca="1" si="3"/>
        <v>30</v>
      </c>
      <c r="Z17" s="51">
        <v>1</v>
      </c>
      <c r="AA17" s="51"/>
      <c r="AB17" s="51"/>
      <c r="AC17" s="52">
        <f t="shared" ca="1" si="4"/>
        <v>31</v>
      </c>
      <c r="AD17" s="51">
        <v>0</v>
      </c>
      <c r="AE17" s="51" t="s">
        <v>18</v>
      </c>
      <c r="AF17" s="23" t="str">
        <f t="shared" si="0"/>
        <v>6</v>
      </c>
    </row>
    <row r="18" spans="1:32" ht="15" thickTop="1" thickBot="1" x14ac:dyDescent="0.3">
      <c r="A18" s="23" t="s">
        <v>88</v>
      </c>
      <c r="B18" s="23" t="s">
        <v>304</v>
      </c>
      <c r="C18" s="23">
        <f t="shared" ca="1" si="14"/>
        <v>40</v>
      </c>
      <c r="D18" s="23">
        <v>1</v>
      </c>
      <c r="E18" s="23"/>
      <c r="F18" s="23"/>
      <c r="G18" s="52">
        <f t="shared" ca="1" si="15"/>
        <v>41</v>
      </c>
      <c r="H18" s="23">
        <v>0</v>
      </c>
      <c r="I18" s="23" t="s">
        <v>18</v>
      </c>
      <c r="J18" s="23" t="str">
        <f>IF(D18&lt;10,"6",IF(D18&lt;20,"9",IF(D18&lt;30,"12",18)))</f>
        <v>6</v>
      </c>
      <c r="L18" s="23" t="s">
        <v>92</v>
      </c>
      <c r="M18" s="23" t="s">
        <v>12</v>
      </c>
      <c r="N18" s="23">
        <f t="shared" ca="1" si="16"/>
        <v>50</v>
      </c>
      <c r="O18" s="23">
        <v>1</v>
      </c>
      <c r="P18" s="23"/>
      <c r="Q18" s="23"/>
      <c r="R18" s="52">
        <f t="shared" ca="1" si="17"/>
        <v>50.7</v>
      </c>
      <c r="S18" s="23">
        <v>0</v>
      </c>
      <c r="T18" s="23" t="s">
        <v>18</v>
      </c>
      <c r="U18" s="23" t="str">
        <f t="shared" si="2"/>
        <v>6</v>
      </c>
      <c r="W18" s="51"/>
      <c r="X18" s="51" t="s">
        <v>120</v>
      </c>
      <c r="Y18" s="51">
        <f t="shared" ca="1" si="3"/>
        <v>30</v>
      </c>
      <c r="Z18" s="51">
        <v>1</v>
      </c>
      <c r="AA18" s="51"/>
      <c r="AB18" s="51"/>
      <c r="AC18" s="52">
        <f t="shared" ca="1" si="4"/>
        <v>31</v>
      </c>
      <c r="AD18" s="51">
        <v>0</v>
      </c>
      <c r="AE18" s="51" t="s">
        <v>18</v>
      </c>
      <c r="AF18" s="23" t="str">
        <f t="shared" si="0"/>
        <v>6</v>
      </c>
    </row>
    <row r="19" spans="1:32" ht="15" thickTop="1" thickBot="1" x14ac:dyDescent="0.3">
      <c r="A19" s="184" t="s">
        <v>15</v>
      </c>
      <c r="B19" s="185"/>
      <c r="C19" s="185"/>
      <c r="D19" s="185"/>
      <c r="E19" s="185"/>
      <c r="F19" s="185"/>
      <c r="G19" s="185"/>
      <c r="H19" s="185"/>
      <c r="I19" s="185"/>
      <c r="J19" s="186"/>
      <c r="L19" s="23" t="s">
        <v>370</v>
      </c>
      <c r="M19" s="23" t="s">
        <v>51</v>
      </c>
      <c r="N19" s="23">
        <f t="shared" ca="1" si="16"/>
        <v>50</v>
      </c>
      <c r="O19" s="23">
        <v>1</v>
      </c>
      <c r="P19" s="23"/>
      <c r="Q19" s="23"/>
      <c r="R19" s="52">
        <f t="shared" ca="1" si="17"/>
        <v>50.7</v>
      </c>
      <c r="S19" s="23">
        <v>0</v>
      </c>
      <c r="T19" s="23" t="s">
        <v>18</v>
      </c>
      <c r="U19" s="23" t="str">
        <f t="shared" si="2"/>
        <v>6</v>
      </c>
      <c r="W19" s="51"/>
      <c r="X19" s="51" t="s">
        <v>120</v>
      </c>
      <c r="Y19" s="51">
        <f t="shared" ca="1" si="3"/>
        <v>30</v>
      </c>
      <c r="Z19" s="51">
        <v>1</v>
      </c>
      <c r="AA19" s="51"/>
      <c r="AB19" s="51"/>
      <c r="AC19" s="52">
        <f t="shared" ca="1" si="4"/>
        <v>31</v>
      </c>
      <c r="AD19" s="51">
        <v>0</v>
      </c>
      <c r="AE19" s="51" t="s">
        <v>18</v>
      </c>
      <c r="AF19" s="23" t="str">
        <f t="shared" si="0"/>
        <v>6</v>
      </c>
    </row>
    <row r="20" spans="1:32" ht="15" thickTop="1" thickBot="1" x14ac:dyDescent="0.3">
      <c r="A20" s="23" t="s">
        <v>142</v>
      </c>
      <c r="B20" s="23" t="s">
        <v>120</v>
      </c>
      <c r="C20" s="23">
        <f ca="1">LOOKUP(INDIRECT("rc[-1]",),INDIRECT("总表"&amp;"!A29:A34"),INDIRECT("总表"&amp;"!B29:B34"))</f>
        <v>30</v>
      </c>
      <c r="D20" s="23">
        <v>1</v>
      </c>
      <c r="E20" s="23"/>
      <c r="F20" s="23"/>
      <c r="G20" s="52">
        <f ca="1">IF(SUM(C20:E20)&lt;=50,SUM(C20:E20),IF(SUM(C20:E20)&lt;=80,(SUM(C20:E20)-50)*0.7+50,(SUM(C20:E20)-80)*0.4+71))+F20</f>
        <v>31</v>
      </c>
      <c r="H20" s="23">
        <v>0</v>
      </c>
      <c r="I20" s="23" t="s">
        <v>18</v>
      </c>
      <c r="J20" s="23" t="str">
        <f t="shared" ref="J20:J32" si="18">IF(D20&lt;10,"6",IF(D20&lt;20,"9",IF(D20&lt;30,"12",18)))</f>
        <v>6</v>
      </c>
      <c r="L20" s="23" t="s">
        <v>302</v>
      </c>
      <c r="M20" s="23" t="s">
        <v>13</v>
      </c>
      <c r="N20" s="23">
        <f t="shared" ca="1" si="16"/>
        <v>50</v>
      </c>
      <c r="O20" s="23">
        <v>1</v>
      </c>
      <c r="P20" s="23"/>
      <c r="Q20" s="23"/>
      <c r="R20" s="52">
        <f t="shared" ca="1" si="17"/>
        <v>50.7</v>
      </c>
      <c r="S20" s="23">
        <v>0</v>
      </c>
      <c r="T20" s="23" t="s">
        <v>18</v>
      </c>
      <c r="U20" s="23" t="str">
        <f t="shared" si="2"/>
        <v>6</v>
      </c>
      <c r="W20" s="51"/>
      <c r="X20" s="51" t="s">
        <v>120</v>
      </c>
      <c r="Y20" s="51">
        <f t="shared" ca="1" si="3"/>
        <v>30</v>
      </c>
      <c r="Z20" s="51">
        <v>1</v>
      </c>
      <c r="AA20" s="51"/>
      <c r="AB20" s="51"/>
      <c r="AC20" s="52">
        <f t="shared" ca="1" si="4"/>
        <v>31</v>
      </c>
      <c r="AD20" s="51">
        <v>0</v>
      </c>
      <c r="AE20" s="51" t="s">
        <v>18</v>
      </c>
      <c r="AF20" s="23" t="str">
        <f t="shared" si="0"/>
        <v>6</v>
      </c>
    </row>
    <row r="21" spans="1:32" ht="15" thickTop="1" thickBot="1" x14ac:dyDescent="0.3">
      <c r="A21" s="23" t="s">
        <v>143</v>
      </c>
      <c r="B21" s="23" t="s">
        <v>120</v>
      </c>
      <c r="C21" s="23">
        <f t="shared" ref="C21:C25" ca="1" si="19">LOOKUP(INDIRECT("rc[-1]",),INDIRECT("总表"&amp;"!A29:A34"),INDIRECT("总表"&amp;"!B29:B34"))</f>
        <v>30</v>
      </c>
      <c r="D21" s="23">
        <v>1</v>
      </c>
      <c r="E21" s="23"/>
      <c r="F21" s="23"/>
      <c r="G21" s="52">
        <f t="shared" ref="G21:G25" ca="1" si="20">IF(SUM(C21:E21)&lt;=50,SUM(C21:E21),IF(SUM(C21:E21)&lt;=80,(SUM(C21:E21)-50)*0.7+50,(SUM(C21:E21)-80)*0.4+71))+F21</f>
        <v>31</v>
      </c>
      <c r="H21" s="23">
        <v>0</v>
      </c>
      <c r="I21" s="23" t="s">
        <v>18</v>
      </c>
      <c r="J21" s="23" t="str">
        <f t="shared" si="18"/>
        <v>6</v>
      </c>
      <c r="L21" s="184" t="s">
        <v>308</v>
      </c>
      <c r="M21" s="185"/>
      <c r="N21" s="185"/>
      <c r="O21" s="185"/>
      <c r="P21" s="185"/>
      <c r="Q21" s="185"/>
      <c r="R21" s="185"/>
      <c r="S21" s="185"/>
      <c r="T21" s="185"/>
      <c r="U21" s="186"/>
      <c r="W21" s="51"/>
      <c r="X21" s="51" t="s">
        <v>120</v>
      </c>
      <c r="Y21" s="51">
        <f t="shared" ca="1" si="3"/>
        <v>30</v>
      </c>
      <c r="Z21" s="51">
        <v>1</v>
      </c>
      <c r="AA21" s="51"/>
      <c r="AB21" s="51"/>
      <c r="AC21" s="52">
        <f t="shared" ca="1" si="4"/>
        <v>31</v>
      </c>
      <c r="AD21" s="51">
        <v>0</v>
      </c>
      <c r="AE21" s="51" t="s">
        <v>18</v>
      </c>
      <c r="AF21" s="23" t="str">
        <f t="shared" si="0"/>
        <v>6</v>
      </c>
    </row>
    <row r="22" spans="1:32" ht="15" thickTop="1" thickBot="1" x14ac:dyDescent="0.3">
      <c r="A22" s="23" t="s">
        <v>89</v>
      </c>
      <c r="B22" s="23" t="s">
        <v>120</v>
      </c>
      <c r="C22" s="23">
        <f t="shared" ca="1" si="19"/>
        <v>30</v>
      </c>
      <c r="D22" s="23">
        <v>1</v>
      </c>
      <c r="E22" s="23"/>
      <c r="F22" s="23"/>
      <c r="G22" s="52">
        <f t="shared" ca="1" si="20"/>
        <v>31</v>
      </c>
      <c r="H22" s="23">
        <v>0</v>
      </c>
      <c r="I22" s="23" t="s">
        <v>18</v>
      </c>
      <c r="J22" s="23" t="str">
        <f t="shared" si="18"/>
        <v>6</v>
      </c>
      <c r="L22" s="23" t="s">
        <v>54</v>
      </c>
      <c r="M22" s="23" t="s">
        <v>12</v>
      </c>
      <c r="N22" s="23">
        <f ca="1">LOOKUP(INDIRECT("rc[-1]",),INDIRECT("总表"&amp;"!A29:A34"),INDIRECT("总表"&amp;"!B29:B34"))</f>
        <v>50</v>
      </c>
      <c r="O22" s="23">
        <v>1</v>
      </c>
      <c r="P22" s="23"/>
      <c r="Q22" s="23"/>
      <c r="R22" s="52">
        <f ca="1">IF(SUM(N22:P22)&lt;=50,SUM(N22:P22),IF(SUM(N22:P22)&lt;=80,(SUM(N22:P22)-50)*0.7+50,(SUM(N22:P22)-80)*0.4+71))+Q22</f>
        <v>50.7</v>
      </c>
      <c r="S22" s="23">
        <v>0</v>
      </c>
      <c r="T22" s="23" t="s">
        <v>18</v>
      </c>
      <c r="U22" s="23" t="str">
        <f t="shared" si="2"/>
        <v>6</v>
      </c>
      <c r="W22" s="26"/>
      <c r="X22" s="51" t="s">
        <v>120</v>
      </c>
      <c r="Y22" s="51">
        <f t="shared" ca="1" si="3"/>
        <v>30</v>
      </c>
      <c r="Z22" s="51">
        <v>1</v>
      </c>
      <c r="AA22" s="51"/>
      <c r="AB22" s="51"/>
      <c r="AC22" s="52">
        <f t="shared" ca="1" si="4"/>
        <v>31</v>
      </c>
      <c r="AD22" s="51">
        <v>0</v>
      </c>
      <c r="AE22" s="51" t="s">
        <v>18</v>
      </c>
      <c r="AF22" s="23" t="str">
        <f t="shared" si="0"/>
        <v>6</v>
      </c>
    </row>
    <row r="23" spans="1:32" ht="15" thickTop="1" thickBot="1" x14ac:dyDescent="0.3">
      <c r="A23" s="23" t="s">
        <v>119</v>
      </c>
      <c r="B23" s="23" t="s">
        <v>120</v>
      </c>
      <c r="C23" s="23">
        <f t="shared" ca="1" si="19"/>
        <v>30</v>
      </c>
      <c r="D23" s="23">
        <v>1</v>
      </c>
      <c r="E23" s="23"/>
      <c r="F23" s="23"/>
      <c r="G23" s="52">
        <f t="shared" ca="1" si="20"/>
        <v>31</v>
      </c>
      <c r="H23" s="23">
        <v>0</v>
      </c>
      <c r="I23" s="23" t="s">
        <v>18</v>
      </c>
      <c r="J23" s="23" t="str">
        <f t="shared" si="18"/>
        <v>6</v>
      </c>
      <c r="L23" s="23" t="s">
        <v>159</v>
      </c>
      <c r="M23" s="23" t="s">
        <v>12</v>
      </c>
      <c r="N23" s="23">
        <f t="shared" ref="N23:N25" ca="1" si="21">LOOKUP(INDIRECT("rc[-1]",),INDIRECT("总表"&amp;"!A29:A34"),INDIRECT("总表"&amp;"!B29:B34"))</f>
        <v>50</v>
      </c>
      <c r="O23" s="23">
        <v>1</v>
      </c>
      <c r="P23" s="23"/>
      <c r="Q23" s="23"/>
      <c r="R23" s="52">
        <f t="shared" ref="R23:R25" ca="1" si="22">IF(SUM(N23:P23)&lt;=50,SUM(N23:P23),IF(SUM(N23:P23)&lt;=80,(SUM(N23:P23)-50)*0.7+50,(SUM(N23:P23)-80)*0.4+71))+Q23</f>
        <v>50.7</v>
      </c>
      <c r="S23" s="23">
        <v>0</v>
      </c>
      <c r="T23" s="23" t="s">
        <v>18</v>
      </c>
      <c r="U23" s="23" t="str">
        <f t="shared" si="2"/>
        <v>6</v>
      </c>
      <c r="W23" s="51"/>
      <c r="X23" s="51" t="s">
        <v>120</v>
      </c>
      <c r="Y23" s="51">
        <f t="shared" ca="1" si="3"/>
        <v>30</v>
      </c>
      <c r="Z23" s="51">
        <v>1</v>
      </c>
      <c r="AA23" s="51"/>
      <c r="AB23" s="51"/>
      <c r="AC23" s="52">
        <f t="shared" ca="1" si="4"/>
        <v>31</v>
      </c>
      <c r="AD23" s="51">
        <v>0</v>
      </c>
      <c r="AE23" s="51" t="s">
        <v>18</v>
      </c>
      <c r="AF23" s="23" t="str">
        <f t="shared" si="0"/>
        <v>6</v>
      </c>
    </row>
    <row r="24" spans="1:32" ht="15" thickTop="1" thickBot="1" x14ac:dyDescent="0.3">
      <c r="A24" s="23" t="s">
        <v>90</v>
      </c>
      <c r="B24" s="23" t="s">
        <v>120</v>
      </c>
      <c r="C24" s="23">
        <f t="shared" ca="1" si="19"/>
        <v>30</v>
      </c>
      <c r="D24" s="23">
        <v>1</v>
      </c>
      <c r="E24" s="23"/>
      <c r="F24" s="23"/>
      <c r="G24" s="52">
        <f t="shared" ca="1" si="20"/>
        <v>31</v>
      </c>
      <c r="H24" s="23">
        <v>0</v>
      </c>
      <c r="I24" s="23" t="s">
        <v>18</v>
      </c>
      <c r="J24" s="23" t="str">
        <f t="shared" si="18"/>
        <v>6</v>
      </c>
      <c r="L24" s="23" t="s">
        <v>96</v>
      </c>
      <c r="M24" s="23" t="s">
        <v>12</v>
      </c>
      <c r="N24" s="23">
        <f t="shared" ca="1" si="21"/>
        <v>50</v>
      </c>
      <c r="O24" s="23">
        <v>1</v>
      </c>
      <c r="P24" s="23"/>
      <c r="Q24" s="23"/>
      <c r="R24" s="52">
        <f t="shared" ca="1" si="22"/>
        <v>50.7</v>
      </c>
      <c r="S24" s="23">
        <v>0</v>
      </c>
      <c r="T24" s="23" t="s">
        <v>18</v>
      </c>
      <c r="U24" s="23" t="str">
        <f t="shared" si="2"/>
        <v>6</v>
      </c>
      <c r="W24" s="51"/>
      <c r="X24" s="51" t="s">
        <v>120</v>
      </c>
      <c r="Y24" s="51">
        <f t="shared" ca="1" si="3"/>
        <v>30</v>
      </c>
      <c r="Z24" s="51">
        <v>1</v>
      </c>
      <c r="AA24" s="51"/>
      <c r="AB24" s="51"/>
      <c r="AC24" s="52">
        <f t="shared" ca="1" si="4"/>
        <v>31</v>
      </c>
      <c r="AD24" s="51">
        <v>0</v>
      </c>
      <c r="AE24" s="51" t="s">
        <v>18</v>
      </c>
      <c r="AF24" s="23" t="str">
        <f t="shared" si="0"/>
        <v>6</v>
      </c>
    </row>
    <row r="25" spans="1:32" ht="15" thickTop="1" thickBot="1" x14ac:dyDescent="0.3">
      <c r="A25" s="23" t="s">
        <v>91</v>
      </c>
      <c r="B25" s="23" t="s">
        <v>120</v>
      </c>
      <c r="C25" s="23">
        <f t="shared" ca="1" si="19"/>
        <v>30</v>
      </c>
      <c r="D25" s="23">
        <v>1</v>
      </c>
      <c r="E25" s="23"/>
      <c r="F25" s="23"/>
      <c r="G25" s="52">
        <f t="shared" ca="1" si="20"/>
        <v>31</v>
      </c>
      <c r="H25" s="23">
        <v>0</v>
      </c>
      <c r="I25" s="23" t="s">
        <v>18</v>
      </c>
      <c r="J25" s="23" t="str">
        <f t="shared" si="18"/>
        <v>6</v>
      </c>
      <c r="L25" s="23" t="s">
        <v>309</v>
      </c>
      <c r="M25" s="23" t="s">
        <v>12</v>
      </c>
      <c r="N25" s="23">
        <f t="shared" ca="1" si="21"/>
        <v>50</v>
      </c>
      <c r="O25" s="23">
        <v>1</v>
      </c>
      <c r="P25" s="23"/>
      <c r="Q25" s="23"/>
      <c r="R25" s="52">
        <f t="shared" ca="1" si="22"/>
        <v>50.7</v>
      </c>
      <c r="S25" s="23">
        <v>0</v>
      </c>
      <c r="T25" s="23" t="s">
        <v>18</v>
      </c>
      <c r="U25" s="23" t="str">
        <f t="shared" si="2"/>
        <v>6</v>
      </c>
      <c r="W25" s="51"/>
      <c r="X25" s="51" t="s">
        <v>120</v>
      </c>
      <c r="Y25" s="51">
        <f t="shared" ca="1" si="3"/>
        <v>30</v>
      </c>
      <c r="Z25" s="51">
        <v>1</v>
      </c>
      <c r="AA25" s="51"/>
      <c r="AB25" s="51"/>
      <c r="AC25" s="52">
        <f t="shared" ca="1" si="4"/>
        <v>31</v>
      </c>
      <c r="AD25" s="51">
        <v>0</v>
      </c>
      <c r="AE25" s="51" t="s">
        <v>18</v>
      </c>
      <c r="AF25" s="23" t="str">
        <f t="shared" si="0"/>
        <v>6</v>
      </c>
    </row>
    <row r="26" spans="1:32" ht="15" thickTop="1" thickBot="1" x14ac:dyDescent="0.3">
      <c r="A26" s="184" t="s">
        <v>16</v>
      </c>
      <c r="B26" s="185"/>
      <c r="C26" s="185"/>
      <c r="D26" s="185"/>
      <c r="E26" s="185"/>
      <c r="F26" s="185"/>
      <c r="G26" s="185"/>
      <c r="H26" s="185"/>
      <c r="I26" s="185"/>
      <c r="J26" s="186"/>
      <c r="L26" s="184" t="s">
        <v>310</v>
      </c>
      <c r="M26" s="185"/>
      <c r="N26" s="185"/>
      <c r="O26" s="185"/>
      <c r="P26" s="185"/>
      <c r="Q26" s="185"/>
      <c r="R26" s="185"/>
      <c r="S26" s="185"/>
      <c r="T26" s="185"/>
      <c r="U26" s="186"/>
      <c r="W26" s="51"/>
      <c r="X26" s="51" t="s">
        <v>120</v>
      </c>
      <c r="Y26" s="51">
        <f t="shared" ca="1" si="3"/>
        <v>30</v>
      </c>
      <c r="Z26" s="51">
        <v>1</v>
      </c>
      <c r="AA26" s="51"/>
      <c r="AB26" s="51"/>
      <c r="AC26" s="52">
        <f t="shared" ca="1" si="4"/>
        <v>31</v>
      </c>
      <c r="AD26" s="51">
        <v>0</v>
      </c>
      <c r="AE26" s="51" t="s">
        <v>18</v>
      </c>
      <c r="AF26" s="23" t="str">
        <f t="shared" si="0"/>
        <v>6</v>
      </c>
    </row>
    <row r="27" spans="1:32" ht="15" thickTop="1" thickBot="1" x14ac:dyDescent="0.3">
      <c r="A27" s="23" t="s">
        <v>77</v>
      </c>
      <c r="B27" s="23" t="s">
        <v>303</v>
      </c>
      <c r="C27" s="23">
        <f ca="1">LOOKUP(INDIRECT("rc[-1]",),INDIRECT("总表"&amp;"!A29:A34"),INDIRECT("总表"&amp;"!B29:B34"))</f>
        <v>40</v>
      </c>
      <c r="D27" s="23">
        <v>1</v>
      </c>
      <c r="E27" s="23"/>
      <c r="F27" s="23"/>
      <c r="G27" s="52">
        <f ca="1">IF(SUM(C27:E27)&lt;=50,SUM(C27:E27),IF(SUM(C27:E27)&lt;=80,(SUM(C27:E27)-50)*0.7+50,(SUM(C27:E27)-80)*0.4+71))+F27</f>
        <v>41</v>
      </c>
      <c r="H27" s="23">
        <v>0</v>
      </c>
      <c r="I27" s="23" t="s">
        <v>18</v>
      </c>
      <c r="J27" s="23" t="str">
        <f t="shared" si="18"/>
        <v>6</v>
      </c>
      <c r="L27" s="23" t="s">
        <v>156</v>
      </c>
      <c r="M27" s="23" t="s">
        <v>12</v>
      </c>
      <c r="N27" s="23">
        <f ca="1">LOOKUP(INDIRECT("rc[-1]",),INDIRECT("总表"&amp;"!A29:A34"),INDIRECT("总表"&amp;"!B29:B34"))</f>
        <v>50</v>
      </c>
      <c r="O27" s="23">
        <v>1</v>
      </c>
      <c r="P27" s="23"/>
      <c r="Q27" s="23"/>
      <c r="R27" s="52">
        <f ca="1">IF(SUM(N27:P27)&lt;=50,SUM(N27:P27),IF(SUM(N27:P27)&lt;=80,(SUM(N27:P27)-50)*0.7+50,(SUM(N27:P27)-80)*0.4+71))+Q27</f>
        <v>50.7</v>
      </c>
      <c r="S27" s="23">
        <v>0</v>
      </c>
      <c r="T27" s="23" t="s">
        <v>18</v>
      </c>
      <c r="U27" s="23" t="str">
        <f t="shared" si="2"/>
        <v>6</v>
      </c>
      <c r="W27" s="51"/>
      <c r="X27" s="51" t="s">
        <v>120</v>
      </c>
      <c r="Y27" s="51">
        <f t="shared" ca="1" si="3"/>
        <v>30</v>
      </c>
      <c r="Z27" s="51">
        <v>1</v>
      </c>
      <c r="AA27" s="51"/>
      <c r="AB27" s="51"/>
      <c r="AC27" s="52">
        <f t="shared" ca="1" si="4"/>
        <v>31</v>
      </c>
      <c r="AD27" s="51">
        <v>0</v>
      </c>
      <c r="AE27" s="51" t="s">
        <v>18</v>
      </c>
      <c r="AF27" s="23" t="str">
        <f t="shared" si="0"/>
        <v>6</v>
      </c>
    </row>
    <row r="28" spans="1:32" ht="15" thickTop="1" thickBot="1" x14ac:dyDescent="0.3">
      <c r="A28" s="23" t="s">
        <v>78</v>
      </c>
      <c r="B28" s="23" t="s">
        <v>303</v>
      </c>
      <c r="C28" s="23">
        <f t="shared" ref="C28:C29" ca="1" si="23">LOOKUP(INDIRECT("rc[-1]",),INDIRECT("总表"&amp;"!A29:A34"),INDIRECT("总表"&amp;"!B29:B34"))</f>
        <v>40</v>
      </c>
      <c r="D28" s="23">
        <v>1</v>
      </c>
      <c r="E28" s="23"/>
      <c r="F28" s="23"/>
      <c r="G28" s="52">
        <f t="shared" ref="G28:G32" ca="1" si="24">IF(SUM(C28:E28)&lt;=50,SUM(C28:E28),IF(SUM(C28:E28)&lt;=80,(SUM(C28:E28)-50)*0.7+50,(SUM(C28:E28)-80)*0.4+71))+F28</f>
        <v>41</v>
      </c>
      <c r="H28" s="23">
        <v>0</v>
      </c>
      <c r="I28" s="23" t="s">
        <v>18</v>
      </c>
      <c r="J28" s="23" t="str">
        <f t="shared" si="18"/>
        <v>6</v>
      </c>
      <c r="L28" s="23" t="s">
        <v>98</v>
      </c>
      <c r="M28" s="23" t="s">
        <v>51</v>
      </c>
      <c r="N28" s="23">
        <f t="shared" ref="N28:N30" ca="1" si="25">LOOKUP(INDIRECT("rc[-1]",),INDIRECT("总表"&amp;"!A29:A34"),INDIRECT("总表"&amp;"!B29:B34"))</f>
        <v>50</v>
      </c>
      <c r="O28" s="23">
        <v>1</v>
      </c>
      <c r="P28" s="23"/>
      <c r="Q28" s="23"/>
      <c r="R28" s="52">
        <f t="shared" ref="R28:R30" ca="1" si="26">IF(SUM(N28:P28)&lt;=50,SUM(N28:P28),IF(SUM(N28:P28)&lt;=80,(SUM(N28:P28)-50)*0.7+50,(SUM(N28:P28)-80)*0.4+71))+Q28</f>
        <v>50.7</v>
      </c>
      <c r="S28" s="23">
        <v>0</v>
      </c>
      <c r="T28" s="23" t="s">
        <v>18</v>
      </c>
      <c r="U28" s="23" t="str">
        <f t="shared" si="2"/>
        <v>6</v>
      </c>
      <c r="W28" s="51"/>
      <c r="X28" s="51" t="s">
        <v>120</v>
      </c>
      <c r="Y28" s="51">
        <f t="shared" ca="1" si="3"/>
        <v>30</v>
      </c>
      <c r="Z28" s="51">
        <v>1</v>
      </c>
      <c r="AA28" s="51"/>
      <c r="AB28" s="51"/>
      <c r="AC28" s="52">
        <f t="shared" ca="1" si="4"/>
        <v>31</v>
      </c>
      <c r="AD28" s="51">
        <v>0</v>
      </c>
      <c r="AE28" s="51" t="s">
        <v>18</v>
      </c>
      <c r="AF28" s="23" t="str">
        <f t="shared" si="0"/>
        <v>6</v>
      </c>
    </row>
    <row r="29" spans="1:32" ht="15" thickTop="1" thickBot="1" x14ac:dyDescent="0.3">
      <c r="A29" s="23" t="s">
        <v>79</v>
      </c>
      <c r="B29" s="23" t="s">
        <v>303</v>
      </c>
      <c r="C29" s="23">
        <f t="shared" ca="1" si="23"/>
        <v>40</v>
      </c>
      <c r="D29" s="23">
        <v>1</v>
      </c>
      <c r="E29" s="23"/>
      <c r="F29" s="23"/>
      <c r="G29" s="52">
        <f t="shared" ca="1" si="24"/>
        <v>41</v>
      </c>
      <c r="H29" s="23">
        <v>0</v>
      </c>
      <c r="I29" s="23" t="s">
        <v>18</v>
      </c>
      <c r="J29" s="23" t="str">
        <f t="shared" si="18"/>
        <v>6</v>
      </c>
      <c r="L29" s="23" t="s">
        <v>97</v>
      </c>
      <c r="M29" s="23" t="s">
        <v>51</v>
      </c>
      <c r="N29" s="23">
        <f t="shared" ca="1" si="25"/>
        <v>50</v>
      </c>
      <c r="O29" s="23">
        <v>1</v>
      </c>
      <c r="P29" s="23"/>
      <c r="Q29" s="23"/>
      <c r="R29" s="52">
        <f t="shared" ca="1" si="26"/>
        <v>50.7</v>
      </c>
      <c r="S29" s="23">
        <v>0</v>
      </c>
      <c r="T29" s="23" t="s">
        <v>18</v>
      </c>
      <c r="U29" s="23" t="str">
        <f t="shared" si="2"/>
        <v>6</v>
      </c>
    </row>
    <row r="30" spans="1:32" ht="15" thickTop="1" thickBot="1" x14ac:dyDescent="0.3">
      <c r="A30" s="184" t="s">
        <v>17</v>
      </c>
      <c r="B30" s="185"/>
      <c r="C30" s="185"/>
      <c r="D30" s="185"/>
      <c r="E30" s="185"/>
      <c r="F30" s="185"/>
      <c r="G30" s="185"/>
      <c r="H30" s="185"/>
      <c r="I30" s="185"/>
      <c r="J30" s="186"/>
      <c r="L30" s="23" t="s">
        <v>95</v>
      </c>
      <c r="M30" s="23" t="s">
        <v>51</v>
      </c>
      <c r="N30" s="23">
        <f t="shared" ca="1" si="25"/>
        <v>50</v>
      </c>
      <c r="O30" s="23">
        <v>1</v>
      </c>
      <c r="P30" s="23"/>
      <c r="Q30" s="23"/>
      <c r="R30" s="52">
        <f t="shared" ca="1" si="26"/>
        <v>50.7</v>
      </c>
      <c r="S30" s="23">
        <v>0</v>
      </c>
      <c r="T30" s="23" t="s">
        <v>18</v>
      </c>
      <c r="U30" s="23" t="str">
        <f t="shared" si="2"/>
        <v>6</v>
      </c>
    </row>
    <row r="31" spans="1:32" ht="15" thickTop="1" thickBot="1" x14ac:dyDescent="0.3">
      <c r="A31" s="23" t="s">
        <v>121</v>
      </c>
      <c r="B31" s="23" t="s">
        <v>122</v>
      </c>
      <c r="C31" s="23">
        <f ca="1">LOOKUP(INDIRECT("rc[-1]",),INDIRECT("总表"&amp;"!A29:A34"),INDIRECT("总表"&amp;"!B29:B34"))</f>
        <v>30</v>
      </c>
      <c r="D31" s="23">
        <v>1</v>
      </c>
      <c r="E31" s="23"/>
      <c r="F31" s="23"/>
      <c r="G31" s="52">
        <f t="shared" ca="1" si="24"/>
        <v>31</v>
      </c>
      <c r="H31" s="23">
        <v>0</v>
      </c>
      <c r="I31" s="23" t="s">
        <v>18</v>
      </c>
      <c r="J31" s="23" t="str">
        <f t="shared" si="18"/>
        <v>6</v>
      </c>
      <c r="L31" s="184" t="s">
        <v>349</v>
      </c>
      <c r="M31" s="185"/>
      <c r="N31" s="185"/>
      <c r="O31" s="185"/>
      <c r="P31" s="185"/>
      <c r="Q31" s="185"/>
      <c r="R31" s="185"/>
      <c r="S31" s="185"/>
      <c r="T31" s="185"/>
      <c r="U31" s="186"/>
    </row>
    <row r="32" spans="1:32" ht="15" thickTop="1" thickBot="1" x14ac:dyDescent="0.3">
      <c r="A32" s="23" t="s">
        <v>84</v>
      </c>
      <c r="B32" s="23" t="s">
        <v>122</v>
      </c>
      <c r="C32" s="23">
        <f ca="1">LOOKUP(INDIRECT("rc[-1]",),INDIRECT("总表"&amp;"!A29:A34"),INDIRECT("总表"&amp;"!B29:B34"))</f>
        <v>30</v>
      </c>
      <c r="D32" s="23">
        <v>1</v>
      </c>
      <c r="E32" s="23"/>
      <c r="F32" s="23"/>
      <c r="G32" s="52">
        <f t="shared" ca="1" si="24"/>
        <v>31</v>
      </c>
      <c r="H32" s="23">
        <v>0</v>
      </c>
      <c r="I32" s="23" t="s">
        <v>18</v>
      </c>
      <c r="J32" s="23" t="str">
        <f t="shared" si="18"/>
        <v>6</v>
      </c>
      <c r="L32" s="23" t="s">
        <v>350</v>
      </c>
      <c r="M32" s="23" t="s">
        <v>51</v>
      </c>
      <c r="N32" s="23">
        <f ca="1">LOOKUP(INDIRECT("rc[-1]",),INDIRECT("总表"&amp;"!A29:A34"),INDIRECT("总表"&amp;"!B29:B34"))</f>
        <v>50</v>
      </c>
      <c r="O32" s="23">
        <v>1</v>
      </c>
      <c r="P32" s="23"/>
      <c r="Q32" s="23"/>
      <c r="R32" s="52">
        <f ca="1">IF(SUM(N32:P32)&lt;=50,SUM(N32:P32),IF(SUM(N32:P32)&lt;=80,(SUM(N32:P32)-50)*0.7+50,(SUM(N32:P32)-80)*0.4+71))+Q32</f>
        <v>50.7</v>
      </c>
      <c r="S32" s="23">
        <v>0</v>
      </c>
      <c r="T32" s="23" t="s">
        <v>18</v>
      </c>
      <c r="U32" s="23" t="str">
        <f t="shared" si="2"/>
        <v>6</v>
      </c>
    </row>
    <row r="33" spans="12:21" ht="15" thickTop="1" thickBot="1" x14ac:dyDescent="0.3">
      <c r="L33" s="23" t="s">
        <v>351</v>
      </c>
      <c r="M33" s="23" t="s">
        <v>51</v>
      </c>
      <c r="N33" s="23">
        <f ca="1">LOOKUP(INDIRECT("rc[-1]",),INDIRECT("总表"&amp;"!A29:A34"),INDIRECT("总表"&amp;"!B29:B34"))</f>
        <v>50</v>
      </c>
      <c r="O33" s="23">
        <v>1</v>
      </c>
      <c r="P33" s="23"/>
      <c r="Q33" s="23"/>
      <c r="R33" s="52">
        <f ca="1">IF(SUM(N33:P33)&lt;=50,SUM(N33:P33),IF(SUM(N33:P33)&lt;=80,(SUM(N33:P33)-50)*0.7+50,(SUM(N33:P33)-80)*0.4+71))+Q33</f>
        <v>50.7</v>
      </c>
      <c r="S33" s="23">
        <v>0</v>
      </c>
      <c r="T33" s="23" t="s">
        <v>18</v>
      </c>
      <c r="U33" s="23" t="str">
        <f t="shared" ref="U33:U34" si="27">IF(O33&lt;10,"6",IF(O33&lt;20,"9",IF(O33&lt;30,"12",18)))</f>
        <v>6</v>
      </c>
    </row>
    <row r="34" spans="12:21" ht="15" thickTop="1" thickBot="1" x14ac:dyDescent="0.3">
      <c r="L34" s="23" t="s">
        <v>103</v>
      </c>
      <c r="M34" s="23" t="s">
        <v>51</v>
      </c>
      <c r="N34" s="23">
        <f ca="1">LOOKUP(INDIRECT("rc[-1]",),INDIRECT("总表"&amp;"!A29:A34"),INDIRECT("总表"&amp;"!B29:B34"))</f>
        <v>50</v>
      </c>
      <c r="O34" s="23">
        <v>1</v>
      </c>
      <c r="P34" s="23"/>
      <c r="Q34" s="23"/>
      <c r="R34" s="52">
        <f ca="1">IF(SUM(N34:P34)&lt;=50,SUM(N34:P34),IF(SUM(N34:P34)&lt;=80,(SUM(N34:P34)-50)*0.7+50,(SUM(N34:P34)-80)*0.4+71))+Q34</f>
        <v>50.7</v>
      </c>
      <c r="S34" s="23">
        <v>0</v>
      </c>
      <c r="T34" s="23" t="s">
        <v>18</v>
      </c>
      <c r="U34" s="23" t="str">
        <f t="shared" si="27"/>
        <v>6</v>
      </c>
    </row>
    <row r="35" spans="12:21" ht="14.4" thickTop="1" x14ac:dyDescent="0.25"/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18">
    <mergeCell ref="L26:U26"/>
    <mergeCell ref="L31:U31"/>
    <mergeCell ref="A30:J30"/>
    <mergeCell ref="L4:U4"/>
    <mergeCell ref="L10:U10"/>
    <mergeCell ref="L15:U15"/>
    <mergeCell ref="L21:U21"/>
    <mergeCell ref="A4:J4"/>
    <mergeCell ref="A8:J8"/>
    <mergeCell ref="A14:J14"/>
    <mergeCell ref="A19:J19"/>
    <mergeCell ref="A26:J26"/>
    <mergeCell ref="S3:U3"/>
    <mergeCell ref="A1:J2"/>
    <mergeCell ref="H3:J3"/>
    <mergeCell ref="W1:AF2"/>
    <mergeCell ref="AD3:AF3"/>
    <mergeCell ref="L1:U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6833-30C3-4A31-9CC3-2907A80F2FD2}">
  <sheetPr codeName="Sheet10"/>
  <dimension ref="A1:V28"/>
  <sheetViews>
    <sheetView workbookViewId="0">
      <selection activeCell="C5" sqref="C5:G6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94" t="s">
        <v>279</v>
      </c>
      <c r="B1" s="194"/>
      <c r="C1" s="194"/>
      <c r="D1" s="194"/>
      <c r="E1" s="194"/>
      <c r="F1" s="194"/>
      <c r="G1" s="194"/>
    </row>
    <row r="2" spans="1:22" ht="20.399999999999999" customHeight="1" thickTop="1" thickBot="1" x14ac:dyDescent="0.3">
      <c r="A2" s="194"/>
      <c r="B2" s="194"/>
      <c r="C2" s="194"/>
      <c r="D2" s="194"/>
      <c r="E2" s="194"/>
      <c r="F2" s="194"/>
      <c r="G2" s="194"/>
    </row>
    <row r="3" spans="1:22" ht="20.399999999999999" customHeight="1" thickTop="1" thickBot="1" x14ac:dyDescent="0.3">
      <c r="A3" s="148" t="s">
        <v>198</v>
      </c>
      <c r="B3" s="150"/>
      <c r="C3" s="148">
        <f ca="1">IF(总表!C36=1,INT(INDIRECT("各种技能"&amp;"!G21")/6),INT(INDIRECT("各种技能"&amp;"!G21")/8))</f>
        <v>3</v>
      </c>
      <c r="D3" s="149"/>
      <c r="E3" s="149"/>
      <c r="F3" s="149"/>
      <c r="G3" s="150"/>
    </row>
    <row r="4" spans="1:22" ht="20.399999999999999" customHeight="1" thickTop="1" thickBot="1" x14ac:dyDescent="0.3">
      <c r="A4" s="25" t="s">
        <v>36</v>
      </c>
      <c r="B4" s="25" t="s">
        <v>110</v>
      </c>
      <c r="C4" s="148" t="s">
        <v>214</v>
      </c>
      <c r="D4" s="149"/>
      <c r="E4" s="149"/>
      <c r="F4" s="149"/>
      <c r="G4" s="150"/>
      <c r="H4" s="148" t="s">
        <v>215</v>
      </c>
      <c r="I4" s="149"/>
      <c r="J4" s="149"/>
      <c r="K4" s="149"/>
      <c r="L4" s="150"/>
      <c r="M4" s="148" t="s">
        <v>216</v>
      </c>
      <c r="N4" s="149"/>
      <c r="O4" s="149"/>
      <c r="P4" s="149"/>
      <c r="Q4" s="150"/>
      <c r="R4" s="148" t="s">
        <v>217</v>
      </c>
      <c r="S4" s="149"/>
      <c r="T4" s="149"/>
      <c r="U4" s="149"/>
      <c r="V4" s="150"/>
    </row>
    <row r="5" spans="1:22" ht="20.399999999999999" customHeight="1" thickTop="1" thickBot="1" x14ac:dyDescent="0.3">
      <c r="A5" s="136" t="s">
        <v>199</v>
      </c>
      <c r="B5" s="136" t="s">
        <v>206</v>
      </c>
      <c r="C5" s="188" t="s">
        <v>207</v>
      </c>
      <c r="D5" s="189"/>
      <c r="E5" s="189"/>
      <c r="F5" s="189"/>
      <c r="G5" s="190"/>
      <c r="H5" s="188" t="s">
        <v>227</v>
      </c>
      <c r="I5" s="189"/>
      <c r="J5" s="189"/>
      <c r="K5" s="189"/>
      <c r="L5" s="190"/>
      <c r="M5" s="188" t="s">
        <v>228</v>
      </c>
      <c r="N5" s="189"/>
      <c r="O5" s="189"/>
      <c r="P5" s="189"/>
      <c r="Q5" s="190"/>
      <c r="R5" s="188" t="s">
        <v>229</v>
      </c>
      <c r="S5" s="189"/>
      <c r="T5" s="189"/>
      <c r="U5" s="189"/>
      <c r="V5" s="190"/>
    </row>
    <row r="6" spans="1:22" ht="20.399999999999999" customHeight="1" thickTop="1" thickBot="1" x14ac:dyDescent="0.3">
      <c r="A6" s="136"/>
      <c r="B6" s="136"/>
      <c r="C6" s="191"/>
      <c r="D6" s="192"/>
      <c r="E6" s="192"/>
      <c r="F6" s="192"/>
      <c r="G6" s="193"/>
      <c r="H6" s="191"/>
      <c r="I6" s="192"/>
      <c r="J6" s="192"/>
      <c r="K6" s="192"/>
      <c r="L6" s="193"/>
      <c r="M6" s="191"/>
      <c r="N6" s="192"/>
      <c r="O6" s="192"/>
      <c r="P6" s="192"/>
      <c r="Q6" s="193"/>
      <c r="R6" s="191"/>
      <c r="S6" s="192"/>
      <c r="T6" s="192"/>
      <c r="U6" s="192"/>
      <c r="V6" s="193"/>
    </row>
    <row r="7" spans="1:22" ht="20.399999999999999" customHeight="1" thickTop="1" thickBot="1" x14ac:dyDescent="0.3">
      <c r="A7" s="136" t="s">
        <v>200</v>
      </c>
      <c r="B7" s="136" t="s">
        <v>206</v>
      </c>
      <c r="C7" s="188" t="s">
        <v>208</v>
      </c>
      <c r="D7" s="189" t="s">
        <v>148</v>
      </c>
      <c r="E7" s="189"/>
      <c r="F7" s="189"/>
      <c r="G7" s="190"/>
      <c r="H7" s="188" t="s">
        <v>218</v>
      </c>
      <c r="I7" s="189"/>
      <c r="J7" s="189"/>
      <c r="K7" s="189"/>
      <c r="L7" s="190"/>
      <c r="M7" s="188" t="s">
        <v>219</v>
      </c>
      <c r="N7" s="189"/>
      <c r="O7" s="189"/>
      <c r="P7" s="189"/>
      <c r="Q7" s="190"/>
      <c r="R7" s="188" t="s">
        <v>220</v>
      </c>
      <c r="S7" s="189"/>
      <c r="T7" s="189"/>
      <c r="U7" s="189"/>
      <c r="V7" s="190"/>
    </row>
    <row r="8" spans="1:22" ht="20.399999999999999" customHeight="1" thickTop="1" thickBot="1" x14ac:dyDescent="0.3">
      <c r="A8" s="136"/>
      <c r="B8" s="136"/>
      <c r="C8" s="191"/>
      <c r="D8" s="192"/>
      <c r="E8" s="192"/>
      <c r="F8" s="192"/>
      <c r="G8" s="193"/>
      <c r="H8" s="191"/>
      <c r="I8" s="192"/>
      <c r="J8" s="192"/>
      <c r="K8" s="192"/>
      <c r="L8" s="193"/>
      <c r="M8" s="191"/>
      <c r="N8" s="192"/>
      <c r="O8" s="192"/>
      <c r="P8" s="192"/>
      <c r="Q8" s="193"/>
      <c r="R8" s="191"/>
      <c r="S8" s="192"/>
      <c r="T8" s="192"/>
      <c r="U8" s="192"/>
      <c r="V8" s="193"/>
    </row>
    <row r="9" spans="1:22" ht="20.399999999999999" customHeight="1" thickTop="1" thickBot="1" x14ac:dyDescent="0.3">
      <c r="A9" s="136" t="s">
        <v>201</v>
      </c>
      <c r="B9" s="136" t="s">
        <v>206</v>
      </c>
      <c r="C9" s="188" t="s">
        <v>209</v>
      </c>
      <c r="D9" s="189"/>
      <c r="E9" s="189"/>
      <c r="F9" s="189"/>
      <c r="G9" s="190"/>
      <c r="H9" s="188" t="s">
        <v>221</v>
      </c>
      <c r="I9" s="189"/>
      <c r="J9" s="189"/>
      <c r="K9" s="189"/>
      <c r="L9" s="190"/>
      <c r="M9" s="188" t="s">
        <v>230</v>
      </c>
      <c r="N9" s="189"/>
      <c r="O9" s="189"/>
      <c r="P9" s="189"/>
      <c r="Q9" s="190"/>
      <c r="R9" s="188" t="s">
        <v>222</v>
      </c>
      <c r="S9" s="189"/>
      <c r="T9" s="189"/>
      <c r="U9" s="189"/>
      <c r="V9" s="190"/>
    </row>
    <row r="10" spans="1:22" ht="20.399999999999999" customHeight="1" thickTop="1" thickBot="1" x14ac:dyDescent="0.3">
      <c r="A10" s="136"/>
      <c r="B10" s="136"/>
      <c r="C10" s="191"/>
      <c r="D10" s="192"/>
      <c r="E10" s="192"/>
      <c r="F10" s="192"/>
      <c r="G10" s="193"/>
      <c r="H10" s="191"/>
      <c r="I10" s="192"/>
      <c r="J10" s="192"/>
      <c r="K10" s="192"/>
      <c r="L10" s="193"/>
      <c r="M10" s="191"/>
      <c r="N10" s="192"/>
      <c r="O10" s="192"/>
      <c r="P10" s="192"/>
      <c r="Q10" s="193"/>
      <c r="R10" s="191"/>
      <c r="S10" s="192"/>
      <c r="T10" s="192"/>
      <c r="U10" s="192"/>
      <c r="V10" s="193"/>
    </row>
    <row r="11" spans="1:22" ht="20.399999999999999" customHeight="1" thickTop="1" thickBot="1" x14ac:dyDescent="0.3">
      <c r="A11" s="136" t="s">
        <v>202</v>
      </c>
      <c r="B11" s="136" t="s">
        <v>206</v>
      </c>
      <c r="C11" s="188" t="s">
        <v>210</v>
      </c>
      <c r="D11" s="189"/>
      <c r="E11" s="189"/>
      <c r="F11" s="189"/>
      <c r="G11" s="190"/>
      <c r="H11" s="188" t="s">
        <v>223</v>
      </c>
      <c r="I11" s="189"/>
      <c r="J11" s="189"/>
      <c r="K11" s="189"/>
      <c r="L11" s="190"/>
      <c r="M11" s="188" t="s">
        <v>224</v>
      </c>
      <c r="N11" s="189"/>
      <c r="O11" s="189"/>
      <c r="P11" s="189"/>
      <c r="Q11" s="190"/>
      <c r="R11" s="188" t="s">
        <v>225</v>
      </c>
      <c r="S11" s="189"/>
      <c r="T11" s="189"/>
      <c r="U11" s="189"/>
      <c r="V11" s="190"/>
    </row>
    <row r="12" spans="1:22" ht="20.399999999999999" customHeight="1" thickTop="1" thickBot="1" x14ac:dyDescent="0.3">
      <c r="A12" s="136"/>
      <c r="B12" s="136"/>
      <c r="C12" s="191"/>
      <c r="D12" s="192"/>
      <c r="E12" s="192"/>
      <c r="F12" s="192"/>
      <c r="G12" s="193"/>
      <c r="H12" s="191"/>
      <c r="I12" s="192"/>
      <c r="J12" s="192"/>
      <c r="K12" s="192"/>
      <c r="L12" s="193"/>
      <c r="M12" s="191"/>
      <c r="N12" s="192"/>
      <c r="O12" s="192"/>
      <c r="P12" s="192"/>
      <c r="Q12" s="193"/>
      <c r="R12" s="191"/>
      <c r="S12" s="192"/>
      <c r="T12" s="192"/>
      <c r="U12" s="192"/>
      <c r="V12" s="193"/>
    </row>
    <row r="13" spans="1:22" ht="20.399999999999999" customHeight="1" thickTop="1" thickBot="1" x14ac:dyDescent="0.3">
      <c r="A13" s="194" t="s">
        <v>280</v>
      </c>
      <c r="B13" s="194"/>
      <c r="C13" s="194"/>
      <c r="D13" s="194"/>
      <c r="E13" s="194"/>
      <c r="F13" s="194"/>
      <c r="G13" s="194"/>
    </row>
    <row r="14" spans="1:22" ht="20.399999999999999" customHeight="1" thickTop="1" thickBot="1" x14ac:dyDescent="0.3">
      <c r="A14" s="194"/>
      <c r="B14" s="194"/>
      <c r="C14" s="194"/>
      <c r="D14" s="194"/>
      <c r="E14" s="194"/>
      <c r="F14" s="194"/>
      <c r="G14" s="194"/>
    </row>
    <row r="15" spans="1:22" ht="20.399999999999999" customHeight="1" thickTop="1" thickBot="1" x14ac:dyDescent="0.3">
      <c r="A15" s="25" t="s">
        <v>36</v>
      </c>
      <c r="B15" s="25" t="s">
        <v>31</v>
      </c>
      <c r="C15" s="25" t="s">
        <v>104</v>
      </c>
      <c r="D15" s="152" t="s">
        <v>105</v>
      </c>
      <c r="E15" s="152"/>
      <c r="F15" s="152"/>
      <c r="G15" s="152"/>
    </row>
    <row r="16" spans="1:22" ht="20.399999999999999" customHeight="1" thickTop="1" thickBot="1" x14ac:dyDescent="0.3">
      <c r="A16" s="136" t="s">
        <v>145</v>
      </c>
      <c r="B16" s="136" t="s">
        <v>149</v>
      </c>
      <c r="C16" s="136">
        <v>10</v>
      </c>
      <c r="D16" s="187" t="s">
        <v>147</v>
      </c>
      <c r="E16" s="187"/>
      <c r="F16" s="187"/>
      <c r="G16" s="187"/>
    </row>
    <row r="17" spans="1:7" ht="20.399999999999999" customHeight="1" thickTop="1" thickBot="1" x14ac:dyDescent="0.3">
      <c r="A17" s="136"/>
      <c r="B17" s="136"/>
      <c r="C17" s="136"/>
      <c r="D17" s="187"/>
      <c r="E17" s="187"/>
      <c r="F17" s="187"/>
      <c r="G17" s="187"/>
    </row>
    <row r="18" spans="1:7" ht="20.399999999999999" customHeight="1" thickTop="1" thickBot="1" x14ac:dyDescent="0.3">
      <c r="A18" s="136" t="s">
        <v>146</v>
      </c>
      <c r="B18" s="136" t="s">
        <v>150</v>
      </c>
      <c r="C18" s="136">
        <v>0</v>
      </c>
      <c r="D18" s="187" t="s">
        <v>148</v>
      </c>
      <c r="E18" s="187"/>
      <c r="F18" s="187"/>
      <c r="G18" s="187"/>
    </row>
    <row r="19" spans="1:7" ht="20.399999999999999" customHeight="1" thickTop="1" thickBot="1" x14ac:dyDescent="0.3">
      <c r="A19" s="136"/>
      <c r="B19" s="136"/>
      <c r="C19" s="136"/>
      <c r="D19" s="187"/>
      <c r="E19" s="187"/>
      <c r="F19" s="187"/>
      <c r="G19" s="187"/>
    </row>
    <row r="20" spans="1:7" ht="20.399999999999999" customHeight="1" thickTop="1" thickBot="1" x14ac:dyDescent="0.3">
      <c r="A20" s="136"/>
      <c r="B20" s="136"/>
      <c r="C20" s="136"/>
      <c r="D20" s="187"/>
      <c r="E20" s="187"/>
      <c r="F20" s="187"/>
      <c r="G20" s="187"/>
    </row>
    <row r="21" spans="1:7" ht="20.399999999999999" customHeight="1" thickTop="1" thickBot="1" x14ac:dyDescent="0.3">
      <c r="A21" s="136"/>
      <c r="B21" s="136"/>
      <c r="C21" s="136"/>
      <c r="D21" s="187"/>
      <c r="E21" s="187"/>
      <c r="F21" s="187"/>
      <c r="G21" s="187"/>
    </row>
    <row r="22" spans="1:7" ht="20.399999999999999" customHeight="1" thickTop="1" thickBot="1" x14ac:dyDescent="0.3">
      <c r="A22" s="136"/>
      <c r="B22" s="136"/>
      <c r="C22" s="136"/>
      <c r="D22" s="187"/>
      <c r="E22" s="187"/>
      <c r="F22" s="187"/>
      <c r="G22" s="187"/>
    </row>
    <row r="23" spans="1:7" ht="20.399999999999999" customHeight="1" thickTop="1" thickBot="1" x14ac:dyDescent="0.3">
      <c r="A23" s="136"/>
      <c r="B23" s="136"/>
      <c r="C23" s="136"/>
      <c r="D23" s="187"/>
      <c r="E23" s="187"/>
      <c r="F23" s="187"/>
      <c r="G23" s="187"/>
    </row>
    <row r="24" spans="1:7" ht="20.399999999999999" customHeight="1" thickTop="1" thickBot="1" x14ac:dyDescent="0.3">
      <c r="A24" s="136"/>
      <c r="B24" s="136"/>
      <c r="C24" s="136"/>
      <c r="D24" s="187"/>
      <c r="E24" s="187"/>
      <c r="F24" s="187"/>
      <c r="G24" s="187"/>
    </row>
    <row r="25" spans="1:7" ht="20.399999999999999" customHeight="1" thickTop="1" thickBot="1" x14ac:dyDescent="0.3">
      <c r="A25" s="136"/>
      <c r="B25" s="136"/>
      <c r="C25" s="136"/>
      <c r="D25" s="187"/>
      <c r="E25" s="187"/>
      <c r="F25" s="187"/>
      <c r="G25" s="187"/>
    </row>
    <row r="26" spans="1:7" ht="20.399999999999999" customHeight="1" thickTop="1" thickBot="1" x14ac:dyDescent="0.3">
      <c r="A26" s="136"/>
      <c r="B26" s="136"/>
      <c r="C26" s="136"/>
      <c r="D26" s="187"/>
      <c r="E26" s="187"/>
      <c r="F26" s="187"/>
      <c r="G26" s="187"/>
    </row>
    <row r="27" spans="1:7" ht="20.399999999999999" customHeight="1" thickTop="1" thickBot="1" x14ac:dyDescent="0.3">
      <c r="A27" s="136"/>
      <c r="B27" s="136"/>
      <c r="C27" s="136"/>
      <c r="D27" s="187"/>
      <c r="E27" s="187"/>
      <c r="F27" s="187"/>
      <c r="G27" s="187"/>
    </row>
    <row r="28" spans="1:7" ht="20.399999999999999" customHeight="1" thickTop="1" x14ac:dyDescent="0.25"/>
  </sheetData>
  <mergeCells count="57">
    <mergeCell ref="A13:G14"/>
    <mergeCell ref="D15:G15"/>
    <mergeCell ref="A5:A6"/>
    <mergeCell ref="B5:B6"/>
    <mergeCell ref="C5:G6"/>
    <mergeCell ref="H5:L6"/>
    <mergeCell ref="A1:G2"/>
    <mergeCell ref="A3:B3"/>
    <mergeCell ref="C3:G3"/>
    <mergeCell ref="R7:V8"/>
    <mergeCell ref="M5:Q6"/>
    <mergeCell ref="R5:V6"/>
    <mergeCell ref="C4:G4"/>
    <mergeCell ref="H4:L4"/>
    <mergeCell ref="M4:Q4"/>
    <mergeCell ref="R4:V4"/>
    <mergeCell ref="A7:A8"/>
    <mergeCell ref="B7:B8"/>
    <mergeCell ref="C7:G8"/>
    <mergeCell ref="H7:L8"/>
    <mergeCell ref="M7:Q8"/>
    <mergeCell ref="R11:V12"/>
    <mergeCell ref="M9:Q10"/>
    <mergeCell ref="R9:V10"/>
    <mergeCell ref="A9:A10"/>
    <mergeCell ref="B9:B10"/>
    <mergeCell ref="C9:G10"/>
    <mergeCell ref="H9:L10"/>
    <mergeCell ref="A11:A12"/>
    <mergeCell ref="B11:B12"/>
    <mergeCell ref="C11:G12"/>
    <mergeCell ref="H11:L12"/>
    <mergeCell ref="M11:Q12"/>
    <mergeCell ref="A16:A17"/>
    <mergeCell ref="B16:B17"/>
    <mergeCell ref="C16:C17"/>
    <mergeCell ref="D16:G17"/>
    <mergeCell ref="A18:A19"/>
    <mergeCell ref="B18:B19"/>
    <mergeCell ref="C18:C19"/>
    <mergeCell ref="D18:G19"/>
    <mergeCell ref="A20:A21"/>
    <mergeCell ref="B20:B21"/>
    <mergeCell ref="C20:C21"/>
    <mergeCell ref="D20:G21"/>
    <mergeCell ref="A22:A23"/>
    <mergeCell ref="B22:B23"/>
    <mergeCell ref="C22:C23"/>
    <mergeCell ref="D22:G23"/>
    <mergeCell ref="A24:A25"/>
    <mergeCell ref="B24:B25"/>
    <mergeCell ref="C24:C25"/>
    <mergeCell ref="D24:G25"/>
    <mergeCell ref="A26:A27"/>
    <mergeCell ref="B26:B27"/>
    <mergeCell ref="C26:C27"/>
    <mergeCell ref="D26:G27"/>
  </mergeCells>
  <phoneticPr fontId="1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A2BA45-7866-421F-A112-943EAEA3BE0D}">
          <x14:formula1>
            <xm:f>总表!$A$29:$A$34</xm:f>
          </x14:formula1>
          <xm:sqref>J13:J15</xm:sqref>
        </x14:dataValidation>
        <x14:dataValidation type="list" allowBlank="1" showInputMessage="1" showErrorMessage="1" xr:uid="{BB69E166-74E1-43AF-8655-FC97740874E2}">
          <x14:formula1>
            <xm:f>总表!$A$36:$A$39</xm:f>
          </x14:formula1>
          <xm:sqref>X13:X20 B5:B12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5CBBF-E5E3-4926-BFCC-35424AF1871D}">
  <sheetPr codeName="Sheet11"/>
  <dimension ref="A1:V28"/>
  <sheetViews>
    <sheetView workbookViewId="0">
      <selection activeCell="H9" sqref="H9:L10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94" t="s">
        <v>143</v>
      </c>
      <c r="B1" s="194"/>
      <c r="C1" s="194"/>
      <c r="D1" s="194"/>
      <c r="E1" s="194"/>
      <c r="F1" s="194"/>
      <c r="G1" s="194"/>
    </row>
    <row r="2" spans="1:22" ht="20.399999999999999" customHeight="1" thickTop="1" thickBot="1" x14ac:dyDescent="0.3">
      <c r="A2" s="194"/>
      <c r="B2" s="194"/>
      <c r="C2" s="194"/>
      <c r="D2" s="194"/>
      <c r="E2" s="194"/>
      <c r="F2" s="194"/>
      <c r="G2" s="194"/>
    </row>
    <row r="3" spans="1:22" ht="20.399999999999999" customHeight="1" thickTop="1" thickBot="1" x14ac:dyDescent="0.3">
      <c r="A3" s="148" t="s">
        <v>198</v>
      </c>
      <c r="B3" s="150"/>
      <c r="C3" s="148">
        <f ca="1">IF(总表!C36=1,INT(INDIRECT("各种技能"&amp;"!G21")/6),INT(INDIRECT("各种技能"&amp;"!G21")/8))</f>
        <v>3</v>
      </c>
      <c r="D3" s="149"/>
      <c r="E3" s="149"/>
      <c r="F3" s="149"/>
      <c r="G3" s="150"/>
    </row>
    <row r="4" spans="1:22" ht="20.399999999999999" customHeight="1" thickTop="1" thickBot="1" x14ac:dyDescent="0.3">
      <c r="A4" s="25" t="s">
        <v>36</v>
      </c>
      <c r="B4" s="25" t="s">
        <v>110</v>
      </c>
      <c r="C4" s="148" t="s">
        <v>214</v>
      </c>
      <c r="D4" s="149"/>
      <c r="E4" s="149"/>
      <c r="F4" s="149"/>
      <c r="G4" s="150"/>
      <c r="H4" s="148" t="s">
        <v>215</v>
      </c>
      <c r="I4" s="149"/>
      <c r="J4" s="149"/>
      <c r="K4" s="149"/>
      <c r="L4" s="150"/>
      <c r="M4" s="148" t="s">
        <v>216</v>
      </c>
      <c r="N4" s="149"/>
      <c r="O4" s="149"/>
      <c r="P4" s="149"/>
      <c r="Q4" s="150"/>
      <c r="R4" s="148" t="s">
        <v>217</v>
      </c>
      <c r="S4" s="149"/>
      <c r="T4" s="149"/>
      <c r="U4" s="149"/>
      <c r="V4" s="150"/>
    </row>
    <row r="5" spans="1:22" ht="20.399999999999999" customHeight="1" thickTop="1" thickBot="1" x14ac:dyDescent="0.3">
      <c r="A5" s="136" t="s">
        <v>203</v>
      </c>
      <c r="B5" s="136" t="s">
        <v>206</v>
      </c>
      <c r="C5" s="188" t="s">
        <v>231</v>
      </c>
      <c r="D5" s="189"/>
      <c r="E5" s="189"/>
      <c r="F5" s="189"/>
      <c r="G5" s="190"/>
      <c r="H5" s="188" t="s">
        <v>232</v>
      </c>
      <c r="I5" s="189"/>
      <c r="J5" s="189"/>
      <c r="K5" s="189"/>
      <c r="L5" s="190"/>
      <c r="M5" s="188" t="s">
        <v>233</v>
      </c>
      <c r="N5" s="189"/>
      <c r="O5" s="189"/>
      <c r="P5" s="189"/>
      <c r="Q5" s="190"/>
      <c r="R5" s="188" t="s">
        <v>234</v>
      </c>
      <c r="S5" s="189"/>
      <c r="T5" s="189"/>
      <c r="U5" s="189"/>
      <c r="V5" s="190"/>
    </row>
    <row r="6" spans="1:22" ht="20.399999999999999" customHeight="1" thickTop="1" thickBot="1" x14ac:dyDescent="0.3">
      <c r="A6" s="136"/>
      <c r="B6" s="136"/>
      <c r="C6" s="191"/>
      <c r="D6" s="192"/>
      <c r="E6" s="192"/>
      <c r="F6" s="192"/>
      <c r="G6" s="193"/>
      <c r="H6" s="191"/>
      <c r="I6" s="192"/>
      <c r="J6" s="192"/>
      <c r="K6" s="192"/>
      <c r="L6" s="193"/>
      <c r="M6" s="191"/>
      <c r="N6" s="192"/>
      <c r="O6" s="192"/>
      <c r="P6" s="192"/>
      <c r="Q6" s="193"/>
      <c r="R6" s="191"/>
      <c r="S6" s="192"/>
      <c r="T6" s="192"/>
      <c r="U6" s="192"/>
      <c r="V6" s="193"/>
    </row>
    <row r="7" spans="1:22" ht="20.399999999999999" customHeight="1" thickTop="1" thickBot="1" x14ac:dyDescent="0.3">
      <c r="A7" s="136" t="s">
        <v>205</v>
      </c>
      <c r="B7" s="136" t="s">
        <v>206</v>
      </c>
      <c r="C7" s="188" t="s">
        <v>235</v>
      </c>
      <c r="D7" s="189"/>
      <c r="E7" s="189"/>
      <c r="F7" s="189"/>
      <c r="G7" s="190"/>
      <c r="H7" s="188" t="s">
        <v>320</v>
      </c>
      <c r="I7" s="189"/>
      <c r="J7" s="189"/>
      <c r="K7" s="189"/>
      <c r="L7" s="190"/>
      <c r="M7" s="188" t="s">
        <v>322</v>
      </c>
      <c r="N7" s="189"/>
      <c r="O7" s="189"/>
      <c r="P7" s="189"/>
      <c r="Q7" s="190"/>
      <c r="R7" s="188" t="s">
        <v>321</v>
      </c>
      <c r="S7" s="189"/>
      <c r="T7" s="189"/>
      <c r="U7" s="189"/>
      <c r="V7" s="190"/>
    </row>
    <row r="8" spans="1:22" ht="20.399999999999999" customHeight="1" thickTop="1" thickBot="1" x14ac:dyDescent="0.3">
      <c r="A8" s="136"/>
      <c r="B8" s="136"/>
      <c r="C8" s="191"/>
      <c r="D8" s="192"/>
      <c r="E8" s="192"/>
      <c r="F8" s="192"/>
      <c r="G8" s="193"/>
      <c r="H8" s="191"/>
      <c r="I8" s="192"/>
      <c r="J8" s="192"/>
      <c r="K8" s="192"/>
      <c r="L8" s="193"/>
      <c r="M8" s="191"/>
      <c r="N8" s="192"/>
      <c r="O8" s="192"/>
      <c r="P8" s="192"/>
      <c r="Q8" s="193"/>
      <c r="R8" s="191"/>
      <c r="S8" s="192"/>
      <c r="T8" s="192"/>
      <c r="U8" s="192"/>
      <c r="V8" s="193"/>
    </row>
    <row r="9" spans="1:22" ht="20.399999999999999" customHeight="1" thickTop="1" thickBot="1" x14ac:dyDescent="0.3">
      <c r="A9" s="136" t="s">
        <v>204</v>
      </c>
      <c r="B9" s="136" t="s">
        <v>206</v>
      </c>
      <c r="C9" s="188" t="s">
        <v>236</v>
      </c>
      <c r="D9" s="189"/>
      <c r="E9" s="189"/>
      <c r="F9" s="189"/>
      <c r="G9" s="190"/>
      <c r="H9" s="188" t="s">
        <v>237</v>
      </c>
      <c r="I9" s="189"/>
      <c r="J9" s="189"/>
      <c r="K9" s="189"/>
      <c r="L9" s="190"/>
      <c r="M9" s="188" t="s">
        <v>238</v>
      </c>
      <c r="N9" s="189"/>
      <c r="O9" s="189"/>
      <c r="P9" s="189"/>
      <c r="Q9" s="190"/>
      <c r="R9" s="188" t="s">
        <v>239</v>
      </c>
      <c r="S9" s="189"/>
      <c r="T9" s="189"/>
      <c r="U9" s="189"/>
      <c r="V9" s="190"/>
    </row>
    <row r="10" spans="1:22" ht="20.399999999999999" customHeight="1" thickTop="1" thickBot="1" x14ac:dyDescent="0.3">
      <c r="A10" s="136"/>
      <c r="B10" s="136"/>
      <c r="C10" s="191"/>
      <c r="D10" s="192"/>
      <c r="E10" s="192"/>
      <c r="F10" s="192"/>
      <c r="G10" s="193"/>
      <c r="H10" s="191"/>
      <c r="I10" s="192"/>
      <c r="J10" s="192"/>
      <c r="K10" s="192"/>
      <c r="L10" s="193"/>
      <c r="M10" s="191"/>
      <c r="N10" s="192"/>
      <c r="O10" s="192"/>
      <c r="P10" s="192"/>
      <c r="Q10" s="193"/>
      <c r="R10" s="191"/>
      <c r="S10" s="192"/>
      <c r="T10" s="192"/>
      <c r="U10" s="192"/>
      <c r="V10" s="193"/>
    </row>
    <row r="11" spans="1:22" ht="20.399999999999999" customHeight="1" thickTop="1" thickBot="1" x14ac:dyDescent="0.3">
      <c r="A11" s="136" t="s">
        <v>226</v>
      </c>
      <c r="B11" s="136" t="s">
        <v>206</v>
      </c>
      <c r="C11" s="188" t="s">
        <v>240</v>
      </c>
      <c r="D11" s="189"/>
      <c r="E11" s="189"/>
      <c r="F11" s="189"/>
      <c r="G11" s="190"/>
      <c r="H11" s="188" t="s">
        <v>241</v>
      </c>
      <c r="I11" s="189"/>
      <c r="J11" s="189"/>
      <c r="K11" s="189"/>
      <c r="L11" s="190"/>
      <c r="M11" s="188" t="s">
        <v>242</v>
      </c>
      <c r="N11" s="189"/>
      <c r="O11" s="189"/>
      <c r="P11" s="189"/>
      <c r="Q11" s="190"/>
      <c r="R11" s="188" t="s">
        <v>243</v>
      </c>
      <c r="S11" s="189"/>
      <c r="T11" s="189"/>
      <c r="U11" s="189"/>
      <c r="V11" s="190"/>
    </row>
    <row r="12" spans="1:22" ht="20.399999999999999" customHeight="1" thickTop="1" thickBot="1" x14ac:dyDescent="0.3">
      <c r="A12" s="136"/>
      <c r="B12" s="136"/>
      <c r="C12" s="191"/>
      <c r="D12" s="192"/>
      <c r="E12" s="192"/>
      <c r="F12" s="192"/>
      <c r="G12" s="193"/>
      <c r="H12" s="191"/>
      <c r="I12" s="192"/>
      <c r="J12" s="192"/>
      <c r="K12" s="192"/>
      <c r="L12" s="193"/>
      <c r="M12" s="191"/>
      <c r="N12" s="192"/>
      <c r="O12" s="192"/>
      <c r="P12" s="192"/>
      <c r="Q12" s="193"/>
      <c r="R12" s="191"/>
      <c r="S12" s="192"/>
      <c r="T12" s="192"/>
      <c r="U12" s="192"/>
      <c r="V12" s="193"/>
    </row>
    <row r="13" spans="1:22" ht="20.399999999999999" customHeight="1" thickTop="1" thickBot="1" x14ac:dyDescent="0.3">
      <c r="A13" s="194" t="s">
        <v>106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</row>
    <row r="14" spans="1:22" ht="20.399999999999999" customHeight="1" thickTop="1" thickBot="1" x14ac:dyDescent="0.3">
      <c r="A14" s="194"/>
      <c r="B14" s="194"/>
      <c r="C14" s="194"/>
      <c r="D14" s="194"/>
      <c r="E14" s="194"/>
      <c r="F14" s="194"/>
      <c r="G14" s="194"/>
      <c r="H14" s="194"/>
      <c r="I14" s="194"/>
      <c r="J14" s="194"/>
      <c r="K14" s="194"/>
      <c r="L14" s="194"/>
      <c r="M14" s="194"/>
    </row>
    <row r="15" spans="1:22" ht="20.399999999999999" customHeight="1" thickTop="1" thickBot="1" x14ac:dyDescent="0.3">
      <c r="A15" s="25" t="s">
        <v>36</v>
      </c>
      <c r="B15" s="25" t="s">
        <v>25</v>
      </c>
      <c r="C15" s="25" t="s">
        <v>70</v>
      </c>
      <c r="D15" s="152" t="s">
        <v>105</v>
      </c>
      <c r="E15" s="152"/>
      <c r="F15" s="152"/>
      <c r="G15" s="152"/>
      <c r="H15" s="25" t="s">
        <v>71</v>
      </c>
      <c r="I15" s="152" t="s">
        <v>73</v>
      </c>
      <c r="J15" s="152"/>
      <c r="K15" s="152"/>
      <c r="L15" s="25" t="s">
        <v>104</v>
      </c>
      <c r="M15" s="25" t="s">
        <v>72</v>
      </c>
    </row>
    <row r="16" spans="1:22" ht="20.399999999999999" customHeight="1" thickTop="1" thickBot="1" x14ac:dyDescent="0.3">
      <c r="A16" s="136" t="s">
        <v>151</v>
      </c>
      <c r="B16" s="136" t="s">
        <v>51</v>
      </c>
      <c r="C16" s="136">
        <f ca="1">LOOKUP(INDIRECT("rc[-1]",),INDIRECT("总表"&amp;"!A29:A34"),INDIRECT("总表"&amp;"!B29:B34"))</f>
        <v>50</v>
      </c>
      <c r="D16" s="151" t="s">
        <v>107</v>
      </c>
      <c r="E16" s="151"/>
      <c r="F16" s="151"/>
      <c r="G16" s="151"/>
      <c r="H16" s="136">
        <v>1</v>
      </c>
      <c r="I16" s="136">
        <v>0</v>
      </c>
      <c r="J16" s="136" t="s">
        <v>18</v>
      </c>
      <c r="K16" s="136" t="str">
        <f>IF(H16&lt;10,"6",IF(H16&lt;20,"9",IF(H16&lt;30,"12",18)))</f>
        <v>6</v>
      </c>
      <c r="L16" s="136">
        <v>5</v>
      </c>
      <c r="M16" s="195">
        <f ca="1">IF(SUM(C16,H16)&lt;=50,SUM(C16,H16),IF(SUM(C16,H16)&lt;=80,(SUM(C16,H16)-50)*0.7+50,(SUM(C16,H16)-80)*0.4+71))</f>
        <v>50.7</v>
      </c>
    </row>
    <row r="17" spans="1:13" ht="20.399999999999999" customHeight="1" thickTop="1" thickBot="1" x14ac:dyDescent="0.3">
      <c r="A17" s="136"/>
      <c r="B17" s="136"/>
      <c r="C17" s="136"/>
      <c r="D17" s="151"/>
      <c r="E17" s="151"/>
      <c r="F17" s="151"/>
      <c r="G17" s="151"/>
      <c r="H17" s="136"/>
      <c r="I17" s="136"/>
      <c r="J17" s="136"/>
      <c r="K17" s="136"/>
      <c r="L17" s="136"/>
      <c r="M17" s="195"/>
    </row>
    <row r="18" spans="1:13" ht="20.399999999999999" customHeight="1" thickTop="1" thickBot="1" x14ac:dyDescent="0.3">
      <c r="A18" s="136" t="s">
        <v>152</v>
      </c>
      <c r="B18" s="136" t="s">
        <v>51</v>
      </c>
      <c r="C18" s="136">
        <f t="shared" ref="C18" ca="1" si="0">LOOKUP(INDIRECT("rc[-1]",),INDIRECT("总表"&amp;"!A29:A34"),INDIRECT("总表"&amp;"!B29:B34"))</f>
        <v>50</v>
      </c>
      <c r="D18" s="151" t="s">
        <v>108</v>
      </c>
      <c r="E18" s="151"/>
      <c r="F18" s="151"/>
      <c r="G18" s="151"/>
      <c r="H18" s="136">
        <v>1</v>
      </c>
      <c r="I18" s="136">
        <v>0</v>
      </c>
      <c r="J18" s="136" t="s">
        <v>18</v>
      </c>
      <c r="K18" s="136" t="str">
        <f t="shared" ref="K18" si="1">IF(H18&lt;10,"6",IF(H18&lt;20,"9",IF(H18&lt;30,"12",18)))</f>
        <v>6</v>
      </c>
      <c r="L18" s="136">
        <v>10</v>
      </c>
      <c r="M18" s="195">
        <f ca="1">IF(SUM(C18,H18)&lt;=50,SUM(C18,H18),IF(SUM(C18,H18)&lt;=80,(SUM(C18,H18)-50)*0.7+50,(SUM(C18,H18)-80)*0.4+71))</f>
        <v>50.7</v>
      </c>
    </row>
    <row r="19" spans="1:13" ht="20.399999999999999" customHeight="1" thickTop="1" thickBot="1" x14ac:dyDescent="0.3">
      <c r="A19" s="136"/>
      <c r="B19" s="136"/>
      <c r="C19" s="136"/>
      <c r="D19" s="151"/>
      <c r="E19" s="151"/>
      <c r="F19" s="151"/>
      <c r="G19" s="151"/>
      <c r="H19" s="136"/>
      <c r="I19" s="136"/>
      <c r="J19" s="136"/>
      <c r="K19" s="136"/>
      <c r="L19" s="136"/>
      <c r="M19" s="195"/>
    </row>
    <row r="20" spans="1:13" ht="20.399999999999999" customHeight="1" thickTop="1" thickBot="1" x14ac:dyDescent="0.3">
      <c r="A20" s="136"/>
      <c r="B20" s="136" t="s">
        <v>51</v>
      </c>
      <c r="C20" s="136">
        <f t="shared" ref="C20" ca="1" si="2">LOOKUP(INDIRECT("rc[-1]",),INDIRECT("总表"&amp;"!A29:A34"),INDIRECT("总表"&amp;"!B29:B34"))</f>
        <v>50</v>
      </c>
      <c r="D20" s="151"/>
      <c r="E20" s="151"/>
      <c r="F20" s="151"/>
      <c r="G20" s="151"/>
      <c r="H20" s="136">
        <v>1</v>
      </c>
      <c r="I20" s="136">
        <v>0</v>
      </c>
      <c r="J20" s="136" t="s">
        <v>18</v>
      </c>
      <c r="K20" s="136" t="str">
        <f t="shared" ref="K20" si="3">IF(H20&lt;10,"6",IF(H20&lt;20,"9",IF(H20&lt;30,"12",18)))</f>
        <v>6</v>
      </c>
      <c r="L20" s="136"/>
      <c r="M20" s="136"/>
    </row>
    <row r="21" spans="1:13" ht="20.399999999999999" customHeight="1" thickTop="1" thickBot="1" x14ac:dyDescent="0.3">
      <c r="A21" s="136"/>
      <c r="B21" s="136"/>
      <c r="C21" s="136"/>
      <c r="D21" s="151"/>
      <c r="E21" s="151"/>
      <c r="F21" s="151"/>
      <c r="G21" s="151"/>
      <c r="H21" s="136"/>
      <c r="I21" s="136"/>
      <c r="J21" s="136"/>
      <c r="K21" s="136"/>
      <c r="L21" s="136"/>
      <c r="M21" s="136"/>
    </row>
    <row r="22" spans="1:13" ht="20.399999999999999" customHeight="1" thickTop="1" thickBot="1" x14ac:dyDescent="0.3">
      <c r="A22" s="136"/>
      <c r="B22" s="136" t="s">
        <v>51</v>
      </c>
      <c r="C22" s="136">
        <f t="shared" ref="C22" ca="1" si="4">LOOKUP(INDIRECT("rc[-1]",),INDIRECT("总表"&amp;"!A29:A34"),INDIRECT("总表"&amp;"!B29:B34"))</f>
        <v>50</v>
      </c>
      <c r="D22" s="151"/>
      <c r="E22" s="151"/>
      <c r="F22" s="151"/>
      <c r="G22" s="151"/>
      <c r="H22" s="136">
        <v>1</v>
      </c>
      <c r="I22" s="136">
        <v>0</v>
      </c>
      <c r="J22" s="136" t="s">
        <v>18</v>
      </c>
      <c r="K22" s="136" t="str">
        <f t="shared" ref="K22" si="5">IF(H22&lt;10,"6",IF(H22&lt;20,"9",IF(H22&lt;30,"12",18)))</f>
        <v>6</v>
      </c>
      <c r="L22" s="136"/>
      <c r="M22" s="136"/>
    </row>
    <row r="23" spans="1:13" ht="20.399999999999999" customHeight="1" thickTop="1" thickBot="1" x14ac:dyDescent="0.3">
      <c r="A23" s="136"/>
      <c r="B23" s="136"/>
      <c r="C23" s="136"/>
      <c r="D23" s="151"/>
      <c r="E23" s="151"/>
      <c r="F23" s="151"/>
      <c r="G23" s="151"/>
      <c r="H23" s="136"/>
      <c r="I23" s="136"/>
      <c r="J23" s="136"/>
      <c r="K23" s="136"/>
      <c r="L23" s="136"/>
      <c r="M23" s="136"/>
    </row>
    <row r="24" spans="1:13" ht="20.399999999999999" customHeight="1" thickTop="1" thickBot="1" x14ac:dyDescent="0.3">
      <c r="A24" s="136"/>
      <c r="B24" s="136" t="s">
        <v>51</v>
      </c>
      <c r="C24" s="136">
        <f t="shared" ref="C24" ca="1" si="6">LOOKUP(INDIRECT("rc[-1]",),INDIRECT("总表"&amp;"!A29:A34"),INDIRECT("总表"&amp;"!B29:B34"))</f>
        <v>50</v>
      </c>
      <c r="D24" s="151"/>
      <c r="E24" s="151"/>
      <c r="F24" s="151"/>
      <c r="G24" s="151"/>
      <c r="H24" s="136">
        <v>1</v>
      </c>
      <c r="I24" s="136">
        <v>0</v>
      </c>
      <c r="J24" s="136" t="s">
        <v>18</v>
      </c>
      <c r="K24" s="136" t="str">
        <f t="shared" ref="K24" si="7">IF(H24&lt;10,"6",IF(H24&lt;20,"9",IF(H24&lt;30,"12",18)))</f>
        <v>6</v>
      </c>
      <c r="L24" s="136"/>
      <c r="M24" s="136"/>
    </row>
    <row r="25" spans="1:13" ht="20.399999999999999" customHeight="1" thickTop="1" thickBot="1" x14ac:dyDescent="0.3">
      <c r="A25" s="136"/>
      <c r="B25" s="136"/>
      <c r="C25" s="136"/>
      <c r="D25" s="151"/>
      <c r="E25" s="151"/>
      <c r="F25" s="151"/>
      <c r="G25" s="151"/>
      <c r="H25" s="136"/>
      <c r="I25" s="136"/>
      <c r="J25" s="136"/>
      <c r="K25" s="136"/>
      <c r="L25" s="136"/>
      <c r="M25" s="136"/>
    </row>
    <row r="26" spans="1:13" ht="20.399999999999999" customHeight="1" thickTop="1" thickBot="1" x14ac:dyDescent="0.3">
      <c r="A26" s="136"/>
      <c r="B26" s="136" t="s">
        <v>51</v>
      </c>
      <c r="C26" s="136">
        <f t="shared" ref="C26" ca="1" si="8">LOOKUP(INDIRECT("rc[-1]",),INDIRECT("总表"&amp;"!A29:A34"),INDIRECT("总表"&amp;"!B29:B34"))</f>
        <v>50</v>
      </c>
      <c r="D26" s="151"/>
      <c r="E26" s="151"/>
      <c r="F26" s="151"/>
      <c r="G26" s="151"/>
      <c r="H26" s="136">
        <v>1</v>
      </c>
      <c r="I26" s="136">
        <v>0</v>
      </c>
      <c r="J26" s="136" t="s">
        <v>18</v>
      </c>
      <c r="K26" s="136" t="str">
        <f t="shared" ref="K26" si="9">IF(H26&lt;10,"6",IF(H26&lt;20,"9",IF(H26&lt;30,"12",18)))</f>
        <v>6</v>
      </c>
      <c r="L26" s="136"/>
      <c r="M26" s="136"/>
    </row>
    <row r="27" spans="1:13" ht="20.399999999999999" customHeight="1" thickTop="1" thickBot="1" x14ac:dyDescent="0.3">
      <c r="A27" s="136"/>
      <c r="B27" s="136"/>
      <c r="C27" s="136"/>
      <c r="D27" s="151"/>
      <c r="E27" s="151"/>
      <c r="F27" s="151"/>
      <c r="G27" s="151"/>
      <c r="H27" s="136"/>
      <c r="I27" s="136"/>
      <c r="J27" s="136"/>
      <c r="K27" s="136"/>
      <c r="L27" s="136"/>
      <c r="M27" s="136"/>
    </row>
    <row r="28" spans="1:13" ht="20.399999999999999" customHeight="1" thickTop="1" x14ac:dyDescent="0.25"/>
  </sheetData>
  <mergeCells count="94">
    <mergeCell ref="H4:L4"/>
    <mergeCell ref="M4:Q4"/>
    <mergeCell ref="R4:V4"/>
    <mergeCell ref="R11:V12"/>
    <mergeCell ref="H7:L8"/>
    <mergeCell ref="M7:Q8"/>
    <mergeCell ref="R7:V8"/>
    <mergeCell ref="H9:L10"/>
    <mergeCell ref="M9:Q10"/>
    <mergeCell ref="M5:Q6"/>
    <mergeCell ref="R5:V6"/>
    <mergeCell ref="H5:L6"/>
    <mergeCell ref="A1:G2"/>
    <mergeCell ref="A5:A6"/>
    <mergeCell ref="B5:B6"/>
    <mergeCell ref="A3:B3"/>
    <mergeCell ref="C3:G3"/>
    <mergeCell ref="C4:G4"/>
    <mergeCell ref="C5:G6"/>
    <mergeCell ref="D15:G15"/>
    <mergeCell ref="A9:A10"/>
    <mergeCell ref="B9:B10"/>
    <mergeCell ref="C7:G8"/>
    <mergeCell ref="C9:G10"/>
    <mergeCell ref="A13:M14"/>
    <mergeCell ref="M11:Q12"/>
    <mergeCell ref="A7:A8"/>
    <mergeCell ref="B7:B8"/>
    <mergeCell ref="L20:L21"/>
    <mergeCell ref="L16:L17"/>
    <mergeCell ref="I15:K15"/>
    <mergeCell ref="K16:K17"/>
    <mergeCell ref="M18:M19"/>
    <mergeCell ref="I18:I19"/>
    <mergeCell ref="J18:J19"/>
    <mergeCell ref="K18:K19"/>
    <mergeCell ref="L18:L19"/>
    <mergeCell ref="I16:I17"/>
    <mergeCell ref="J16:J17"/>
    <mergeCell ref="K20:K21"/>
    <mergeCell ref="M16:M17"/>
    <mergeCell ref="A20:A21"/>
    <mergeCell ref="B20:B21"/>
    <mergeCell ref="A11:A12"/>
    <mergeCell ref="B11:B12"/>
    <mergeCell ref="A18:A19"/>
    <mergeCell ref="B18:B19"/>
    <mergeCell ref="A16:A17"/>
    <mergeCell ref="B16:B17"/>
    <mergeCell ref="C18:C19"/>
    <mergeCell ref="D18:G19"/>
    <mergeCell ref="H18:H19"/>
    <mergeCell ref="C16:C17"/>
    <mergeCell ref="D16:G17"/>
    <mergeCell ref="H16:H17"/>
    <mergeCell ref="C20:C21"/>
    <mergeCell ref="D20:G21"/>
    <mergeCell ref="H20:H21"/>
    <mergeCell ref="I20:I21"/>
    <mergeCell ref="J20:J21"/>
    <mergeCell ref="A24:A25"/>
    <mergeCell ref="B24:B25"/>
    <mergeCell ref="H22:H23"/>
    <mergeCell ref="I22:I23"/>
    <mergeCell ref="J22:J23"/>
    <mergeCell ref="D24:G25"/>
    <mergeCell ref="H24:H25"/>
    <mergeCell ref="I24:I25"/>
    <mergeCell ref="J24:J25"/>
    <mergeCell ref="A22:A23"/>
    <mergeCell ref="B22:B23"/>
    <mergeCell ref="C22:C23"/>
    <mergeCell ref="D22:G23"/>
    <mergeCell ref="K24:K25"/>
    <mergeCell ref="R9:V10"/>
    <mergeCell ref="C11:G12"/>
    <mergeCell ref="H11:L12"/>
    <mergeCell ref="M26:M27"/>
    <mergeCell ref="I26:I27"/>
    <mergeCell ref="J26:J27"/>
    <mergeCell ref="K26:K27"/>
    <mergeCell ref="L26:L27"/>
    <mergeCell ref="L24:L25"/>
    <mergeCell ref="M24:M25"/>
    <mergeCell ref="C24:C25"/>
    <mergeCell ref="K22:K23"/>
    <mergeCell ref="L22:L23"/>
    <mergeCell ref="M22:M23"/>
    <mergeCell ref="M20:M21"/>
    <mergeCell ref="A26:A27"/>
    <mergeCell ref="B26:B27"/>
    <mergeCell ref="C26:C27"/>
    <mergeCell ref="D26:G27"/>
    <mergeCell ref="H26:H27"/>
  </mergeCells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377F1-96D3-4EEC-92F5-735FD96AC34F}">
  <dimension ref="A1:W55"/>
  <sheetViews>
    <sheetView workbookViewId="0">
      <selection activeCell="L12" sqref="L12:L13"/>
    </sheetView>
  </sheetViews>
  <sheetFormatPr defaultRowHeight="18" customHeight="1" x14ac:dyDescent="0.25"/>
  <cols>
    <col min="1" max="3" width="12.21875" customWidth="1"/>
    <col min="4" max="4" width="23.109375" customWidth="1"/>
    <col min="5" max="5" width="9.109375" customWidth="1"/>
  </cols>
  <sheetData>
    <row r="1" spans="1:23" ht="18" customHeight="1" thickTop="1" thickBot="1" x14ac:dyDescent="0.3">
      <c r="A1" s="218" t="s">
        <v>355</v>
      </c>
      <c r="B1" s="220" t="s">
        <v>356</v>
      </c>
      <c r="C1" s="222" t="s">
        <v>357</v>
      </c>
      <c r="D1" s="223"/>
      <c r="E1" s="55"/>
      <c r="F1" s="25" t="s">
        <v>36</v>
      </c>
      <c r="G1" s="25" t="s">
        <v>358</v>
      </c>
      <c r="H1" s="152" t="s">
        <v>105</v>
      </c>
      <c r="I1" s="152"/>
      <c r="J1" s="152"/>
      <c r="K1" s="152"/>
      <c r="L1" s="25" t="s">
        <v>71</v>
      </c>
      <c r="M1" s="152" t="s">
        <v>73</v>
      </c>
      <c r="N1" s="152"/>
      <c r="O1" s="152"/>
      <c r="P1" s="25" t="s">
        <v>104</v>
      </c>
      <c r="Q1" s="25" t="s">
        <v>72</v>
      </c>
      <c r="S1" s="217" t="s">
        <v>354</v>
      </c>
      <c r="T1" s="217"/>
      <c r="U1" s="151" t="str">
        <f ca="1">IF(B23&lt;2,"10",IF(B23&lt;30,"2000",IF(B23&lt;70,"2500",IF(B23&lt;110,"3000","3500"))))</f>
        <v>10</v>
      </c>
      <c r="V1" s="151"/>
      <c r="W1" s="151"/>
    </row>
    <row r="2" spans="1:23" ht="18" customHeight="1" thickTop="1" thickBot="1" x14ac:dyDescent="0.3">
      <c r="A2" s="219"/>
      <c r="B2" s="221"/>
      <c r="C2" s="224"/>
      <c r="D2" s="225"/>
      <c r="E2" s="55"/>
      <c r="F2" s="196"/>
      <c r="G2" s="196" t="s">
        <v>356</v>
      </c>
      <c r="H2" s="140"/>
      <c r="I2" s="141"/>
      <c r="J2" s="141"/>
      <c r="K2" s="142"/>
      <c r="L2" s="196">
        <v>1</v>
      </c>
      <c r="M2" s="196">
        <v>0</v>
      </c>
      <c r="N2" s="196" t="s">
        <v>18</v>
      </c>
      <c r="O2" s="136" t="str">
        <f>IF(L2&lt;10,"6",IF(L2&lt;20,"9",IF(L2&lt;30,"12",18)))</f>
        <v>6</v>
      </c>
      <c r="P2" s="196">
        <v>5</v>
      </c>
      <c r="Q2" s="195">
        <f ca="1">IF(SUM(INDIRECT("总表"&amp;"!K13"),L2)&lt;=50,SUM(INDIRECT("总表"&amp;"!K13"),L2),IF(SUM(INDIRECT("总表"&amp;"!K13"),L2)&lt;=80,(SUM(INDIRECT("总表"&amp;"!K13"),L2)-50)*0.7+50,(SUM(INDIRECT("总表"&amp;"!K13"),L2)-80)*0.4+71))</f>
        <v>31</v>
      </c>
      <c r="S2" s="217"/>
      <c r="T2" s="217"/>
      <c r="U2" s="151"/>
      <c r="V2" s="151"/>
      <c r="W2" s="151"/>
    </row>
    <row r="3" spans="1:23" ht="18" customHeight="1" thickTop="1" thickBot="1" x14ac:dyDescent="0.3">
      <c r="A3" s="56" t="s">
        <v>359</v>
      </c>
      <c r="B3" s="56" t="s">
        <v>111</v>
      </c>
      <c r="C3" s="56" t="s">
        <v>360</v>
      </c>
      <c r="D3" s="56" t="s">
        <v>361</v>
      </c>
      <c r="E3" s="57"/>
      <c r="F3" s="197"/>
      <c r="G3" s="197"/>
      <c r="H3" s="145"/>
      <c r="I3" s="146"/>
      <c r="J3" s="146"/>
      <c r="K3" s="147"/>
      <c r="L3" s="197"/>
      <c r="M3" s="197"/>
      <c r="N3" s="197"/>
      <c r="O3" s="136"/>
      <c r="P3" s="197"/>
      <c r="Q3" s="195"/>
      <c r="S3" s="217" t="s">
        <v>353</v>
      </c>
      <c r="T3" s="217"/>
      <c r="U3" s="151">
        <v>0</v>
      </c>
      <c r="V3" s="151"/>
      <c r="W3" s="151"/>
    </row>
    <row r="4" spans="1:23" ht="18" customHeight="1" thickTop="1" thickBot="1" x14ac:dyDescent="0.3">
      <c r="A4" s="198" t="s">
        <v>362</v>
      </c>
      <c r="B4" s="136">
        <f ca="1">IF(B1=A4,SUMIF(G:L,A4,L:L),SUMIF(G:L,A4,L:L)/2)</f>
        <v>1</v>
      </c>
      <c r="C4" s="196">
        <f ca="1">IF(B4&lt;15,1,IF(B4&lt;45,2,IF(B4&lt;105,3,IF(B4&lt;165,4,5))))</f>
        <v>1</v>
      </c>
      <c r="D4" s="151" t="str">
        <f ca="1">IF(B4&lt;15,"允许连发（n连发所消耗的行动力就是2n）",IF(B4&lt;45,"连发消耗行动力减半（n连发所消耗的行动力就是1+n）",IF(B4&lt;105,"连发消耗行动力减半（n连发所消耗的行动力就是1+n）,允许跨魔法连发",IF(B4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4" s="44"/>
      <c r="F4" s="196"/>
      <c r="G4" s="196" t="s">
        <v>363</v>
      </c>
      <c r="H4" s="140"/>
      <c r="I4" s="141"/>
      <c r="J4" s="141"/>
      <c r="K4" s="142"/>
      <c r="L4" s="196">
        <v>1</v>
      </c>
      <c r="M4" s="196">
        <v>0</v>
      </c>
      <c r="N4" s="196" t="s">
        <v>18</v>
      </c>
      <c r="O4" s="136" t="str">
        <f t="shared" ref="O4" si="0">IF(L4&lt;10,"6",IF(L4&lt;20,"9",IF(L4&lt;30,"12",18)))</f>
        <v>6</v>
      </c>
      <c r="P4" s="196">
        <v>5</v>
      </c>
      <c r="Q4" s="195">
        <f t="shared" ref="Q4" ca="1" si="1">IF(SUM(INDIRECT("总表"&amp;"!K13"),L4)&lt;=50,SUM(INDIRECT("总表"&amp;"!K13"),L4),IF(SUM(INDIRECT("总表"&amp;"!K13"),L4)&lt;=80,(SUM(INDIRECT("总表"&amp;"!K13"),L4)-50)*0.7+50,(SUM(INDIRECT("总表"&amp;"!K13"),L4)-80)*0.4+71))</f>
        <v>31</v>
      </c>
      <c r="S4" s="217"/>
      <c r="T4" s="217"/>
      <c r="U4" s="151"/>
      <c r="V4" s="151"/>
      <c r="W4" s="151"/>
    </row>
    <row r="5" spans="1:23" ht="18" customHeight="1" thickTop="1" thickBot="1" x14ac:dyDescent="0.3">
      <c r="A5" s="198"/>
      <c r="B5" s="136"/>
      <c r="C5" s="199"/>
      <c r="D5" s="151"/>
      <c r="E5" s="44"/>
      <c r="F5" s="197"/>
      <c r="G5" s="197"/>
      <c r="H5" s="145"/>
      <c r="I5" s="146"/>
      <c r="J5" s="146"/>
      <c r="K5" s="147"/>
      <c r="L5" s="197"/>
      <c r="M5" s="197"/>
      <c r="N5" s="197"/>
      <c r="O5" s="136"/>
      <c r="P5" s="197"/>
      <c r="Q5" s="195"/>
      <c r="S5" s="208" t="s">
        <v>115</v>
      </c>
      <c r="T5" s="209"/>
      <c r="U5" s="209"/>
      <c r="V5" s="209"/>
      <c r="W5" s="210"/>
    </row>
    <row r="6" spans="1:23" ht="18" customHeight="1" thickTop="1" thickBot="1" x14ac:dyDescent="0.3">
      <c r="A6" s="198"/>
      <c r="B6" s="136"/>
      <c r="C6" s="199"/>
      <c r="D6" s="151"/>
      <c r="E6" s="44"/>
      <c r="F6" s="196"/>
      <c r="G6" s="196" t="s">
        <v>364</v>
      </c>
      <c r="H6" s="140"/>
      <c r="I6" s="141"/>
      <c r="J6" s="141"/>
      <c r="K6" s="142"/>
      <c r="L6" s="196">
        <v>1</v>
      </c>
      <c r="M6" s="196">
        <v>0</v>
      </c>
      <c r="N6" s="196" t="s">
        <v>18</v>
      </c>
      <c r="O6" s="136" t="str">
        <f t="shared" ref="O6" si="2">IF(L6&lt;10,"6",IF(L6&lt;20,"9",IF(L6&lt;30,"12",18)))</f>
        <v>6</v>
      </c>
      <c r="P6" s="196">
        <v>5</v>
      </c>
      <c r="Q6" s="195">
        <f t="shared" ref="Q6" ca="1" si="3">IF(SUM(INDIRECT("总表"&amp;"!K13"),L6)&lt;=50,SUM(INDIRECT("总表"&amp;"!K13"),L6),IF(SUM(INDIRECT("总表"&amp;"!K13"),L6)&lt;=80,(SUM(INDIRECT("总表"&amp;"!K13"),L6)-50)*0.7+50,(SUM(INDIRECT("总表"&amp;"!K13"),L6)-80)*0.4+71))</f>
        <v>31</v>
      </c>
      <c r="S6" s="211"/>
      <c r="T6" s="212"/>
      <c r="U6" s="212"/>
      <c r="V6" s="212"/>
      <c r="W6" s="213"/>
    </row>
    <row r="7" spans="1:23" ht="18" customHeight="1" thickTop="1" thickBot="1" x14ac:dyDescent="0.3">
      <c r="A7" s="198"/>
      <c r="B7" s="136"/>
      <c r="C7" s="199"/>
      <c r="D7" s="151"/>
      <c r="E7" s="44"/>
      <c r="F7" s="197"/>
      <c r="G7" s="197"/>
      <c r="H7" s="145"/>
      <c r="I7" s="146"/>
      <c r="J7" s="146"/>
      <c r="K7" s="147"/>
      <c r="L7" s="197"/>
      <c r="M7" s="197"/>
      <c r="N7" s="197"/>
      <c r="O7" s="136"/>
      <c r="P7" s="197"/>
      <c r="Q7" s="195"/>
      <c r="S7" s="27" t="s">
        <v>36</v>
      </c>
      <c r="T7" s="27" t="s">
        <v>116</v>
      </c>
      <c r="U7" s="214" t="s">
        <v>38</v>
      </c>
      <c r="V7" s="215"/>
      <c r="W7" s="216"/>
    </row>
    <row r="8" spans="1:23" ht="18" customHeight="1" thickTop="1" thickBot="1" x14ac:dyDescent="0.3">
      <c r="A8" s="198"/>
      <c r="B8" s="136"/>
      <c r="C8" s="197"/>
      <c r="D8" s="151"/>
      <c r="E8" s="44"/>
      <c r="F8" s="196"/>
      <c r="G8" s="196" t="s">
        <v>365</v>
      </c>
      <c r="H8" s="140"/>
      <c r="I8" s="141"/>
      <c r="J8" s="141"/>
      <c r="K8" s="142"/>
      <c r="L8" s="196">
        <v>1</v>
      </c>
      <c r="M8" s="196">
        <v>0</v>
      </c>
      <c r="N8" s="196" t="s">
        <v>18</v>
      </c>
      <c r="O8" s="136" t="str">
        <f t="shared" ref="O8" si="4">IF(L8&lt;10,"6",IF(L8&lt;20,"9",IF(L8&lt;30,"12",18)))</f>
        <v>6</v>
      </c>
      <c r="P8" s="196">
        <v>5</v>
      </c>
      <c r="Q8" s="195">
        <f t="shared" ref="Q8" ca="1" si="5">IF(SUM(INDIRECT("总表"&amp;"!K13"),L8)&lt;=50,SUM(INDIRECT("总表"&amp;"!K13"),L8),IF(SUM(INDIRECT("总表"&amp;"!K13"),L8)&lt;=80,(SUM(INDIRECT("总表"&amp;"!K13"),L8)-50)*0.7+50,(SUM(INDIRECT("总表"&amp;"!K13"),L8)-80)*0.4+71))</f>
        <v>31</v>
      </c>
      <c r="S8" s="169"/>
      <c r="T8" s="169"/>
      <c r="U8" s="140"/>
      <c r="V8" s="141"/>
      <c r="W8" s="142"/>
    </row>
    <row r="9" spans="1:23" ht="18" customHeight="1" thickTop="1" thickBot="1" x14ac:dyDescent="0.3">
      <c r="A9" s="198" t="s">
        <v>112</v>
      </c>
      <c r="B9" s="136">
        <f ca="1">IF(B1=A9,SUMIF(G:L,A9,L:L),SUMIF(G:L,A9,L:L)/2)</f>
        <v>0.5</v>
      </c>
      <c r="C9" s="196">
        <f ca="1">IF(B9&lt;10,1,IF(B9&lt;30,2,IF(B9&lt;70,3,IF(B9&lt;110,4,5))))</f>
        <v>1</v>
      </c>
      <c r="D9" s="151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44"/>
      <c r="F9" s="197"/>
      <c r="G9" s="197"/>
      <c r="H9" s="145"/>
      <c r="I9" s="146"/>
      <c r="J9" s="146"/>
      <c r="K9" s="147"/>
      <c r="L9" s="197"/>
      <c r="M9" s="197"/>
      <c r="N9" s="197"/>
      <c r="O9" s="136"/>
      <c r="P9" s="197"/>
      <c r="Q9" s="195"/>
      <c r="S9" s="170"/>
      <c r="T9" s="170"/>
      <c r="U9" s="145"/>
      <c r="V9" s="146"/>
      <c r="W9" s="147"/>
    </row>
    <row r="10" spans="1:23" ht="18" customHeight="1" thickTop="1" thickBot="1" x14ac:dyDescent="0.3">
      <c r="A10" s="198"/>
      <c r="B10" s="136"/>
      <c r="C10" s="199"/>
      <c r="D10" s="151"/>
      <c r="E10" s="44"/>
      <c r="F10" s="196"/>
      <c r="G10" s="196"/>
      <c r="H10" s="140"/>
      <c r="I10" s="141"/>
      <c r="J10" s="141"/>
      <c r="K10" s="142"/>
      <c r="L10" s="196">
        <v>1</v>
      </c>
      <c r="M10" s="196">
        <v>0</v>
      </c>
      <c r="N10" s="196" t="s">
        <v>18</v>
      </c>
      <c r="O10" s="136" t="str">
        <f t="shared" ref="O10" si="6">IF(L10&lt;10,"6",IF(L10&lt;20,"9",IF(L10&lt;30,"12",18)))</f>
        <v>6</v>
      </c>
      <c r="P10" s="196">
        <v>5</v>
      </c>
      <c r="Q10" s="195">
        <f t="shared" ref="Q10" ca="1" si="7">IF(SUM(INDIRECT("总表"&amp;"!K13"),L10)&lt;=50,SUM(INDIRECT("总表"&amp;"!K13"),L10),IF(SUM(INDIRECT("总表"&amp;"!K13"),L10)&lt;=80,(SUM(INDIRECT("总表"&amp;"!K13"),L10)-50)*0.7+50,(SUM(INDIRECT("总表"&amp;"!K13"),L10)-80)*0.4+71))</f>
        <v>31</v>
      </c>
      <c r="S10" s="169"/>
      <c r="T10" s="169"/>
      <c r="U10" s="140"/>
      <c r="V10" s="141"/>
      <c r="W10" s="142"/>
    </row>
    <row r="11" spans="1:23" ht="18" customHeight="1" thickTop="1" thickBot="1" x14ac:dyDescent="0.3">
      <c r="A11" s="198"/>
      <c r="B11" s="136"/>
      <c r="C11" s="199"/>
      <c r="D11" s="151"/>
      <c r="E11" s="44"/>
      <c r="F11" s="197"/>
      <c r="G11" s="197"/>
      <c r="H11" s="145"/>
      <c r="I11" s="146"/>
      <c r="J11" s="146"/>
      <c r="K11" s="147"/>
      <c r="L11" s="197"/>
      <c r="M11" s="197"/>
      <c r="N11" s="197"/>
      <c r="O11" s="136"/>
      <c r="P11" s="197"/>
      <c r="Q11" s="195"/>
      <c r="S11" s="170"/>
      <c r="T11" s="170"/>
      <c r="U11" s="145"/>
      <c r="V11" s="146"/>
      <c r="W11" s="147"/>
    </row>
    <row r="12" spans="1:23" ht="18" customHeight="1" thickTop="1" thickBot="1" x14ac:dyDescent="0.3">
      <c r="A12" s="198"/>
      <c r="B12" s="136"/>
      <c r="C12" s="199"/>
      <c r="D12" s="151"/>
      <c r="E12" s="44"/>
      <c r="F12" s="196"/>
      <c r="G12" s="196"/>
      <c r="H12" s="140"/>
      <c r="I12" s="141"/>
      <c r="J12" s="141"/>
      <c r="K12" s="142"/>
      <c r="L12" s="196">
        <v>1</v>
      </c>
      <c r="M12" s="196">
        <v>0</v>
      </c>
      <c r="N12" s="196" t="s">
        <v>18</v>
      </c>
      <c r="O12" s="136" t="str">
        <f t="shared" ref="O12:O16" si="8">IF(L12&lt;10,"6",IF(L12&lt;20,"9",IF(L12&lt;30,"12",18)))</f>
        <v>6</v>
      </c>
      <c r="P12" s="196">
        <v>5</v>
      </c>
      <c r="Q12" s="195">
        <f t="shared" ref="Q12:Q16" ca="1" si="9">IF(SUM(INDIRECT("总表"&amp;"!K13"),L12)&lt;=50,SUM(INDIRECT("总表"&amp;"!K13"),L12),IF(SUM(INDIRECT("总表"&amp;"!K13"),L12)&lt;=80,(SUM(INDIRECT("总表"&amp;"!K13"),L12)-50)*0.7+50,(SUM(INDIRECT("总表"&amp;"!K13"),L12)-80)*0.4+71))</f>
        <v>31</v>
      </c>
      <c r="S12" s="169"/>
      <c r="T12" s="169"/>
      <c r="U12" s="140"/>
      <c r="V12" s="141"/>
      <c r="W12" s="142"/>
    </row>
    <row r="13" spans="1:23" ht="18" customHeight="1" thickTop="1" thickBot="1" x14ac:dyDescent="0.3">
      <c r="A13" s="198"/>
      <c r="B13" s="136"/>
      <c r="C13" s="197"/>
      <c r="D13" s="151"/>
      <c r="E13" s="44"/>
      <c r="F13" s="197"/>
      <c r="G13" s="197"/>
      <c r="H13" s="145"/>
      <c r="I13" s="146"/>
      <c r="J13" s="146"/>
      <c r="K13" s="147"/>
      <c r="L13" s="197"/>
      <c r="M13" s="197"/>
      <c r="N13" s="197"/>
      <c r="O13" s="136"/>
      <c r="P13" s="197"/>
      <c r="Q13" s="195"/>
      <c r="S13" s="170"/>
      <c r="T13" s="170"/>
      <c r="U13" s="145"/>
      <c r="V13" s="146"/>
      <c r="W13" s="147"/>
    </row>
    <row r="14" spans="1:23" ht="18" customHeight="1" thickTop="1" thickBot="1" x14ac:dyDescent="0.3">
      <c r="A14" s="196" t="s">
        <v>117</v>
      </c>
      <c r="B14" s="202">
        <f ca="1">AVERAGE(INDIRECT("总表"&amp;"!K3"),INDIRECT("总表"&amp;"!K5"),INDIRECT("总表"&amp;"!K7"),INDIRECT("总表"&amp;"!K9"),INDIRECT("总表"&amp;"!K11"))/10</f>
        <v>4.2</v>
      </c>
      <c r="C14" s="203"/>
      <c r="D14" s="204"/>
      <c r="E14" s="44"/>
      <c r="F14" s="196"/>
      <c r="G14" s="196"/>
      <c r="H14" s="140"/>
      <c r="I14" s="141"/>
      <c r="J14" s="141"/>
      <c r="K14" s="142"/>
      <c r="L14" s="196">
        <v>1</v>
      </c>
      <c r="M14" s="196">
        <v>0</v>
      </c>
      <c r="N14" s="196" t="s">
        <v>18</v>
      </c>
      <c r="O14" s="136" t="str">
        <f t="shared" si="8"/>
        <v>6</v>
      </c>
      <c r="P14" s="196">
        <v>5</v>
      </c>
      <c r="Q14" s="195">
        <f t="shared" ca="1" si="9"/>
        <v>31</v>
      </c>
      <c r="S14" s="169"/>
      <c r="T14" s="169"/>
      <c r="U14" s="140"/>
      <c r="V14" s="141"/>
      <c r="W14" s="142"/>
    </row>
    <row r="15" spans="1:23" ht="18" customHeight="1" thickTop="1" thickBot="1" x14ac:dyDescent="0.3">
      <c r="A15" s="197"/>
      <c r="B15" s="205"/>
      <c r="C15" s="206"/>
      <c r="D15" s="207"/>
      <c r="E15" s="44"/>
      <c r="F15" s="197"/>
      <c r="G15" s="197"/>
      <c r="H15" s="145"/>
      <c r="I15" s="146"/>
      <c r="J15" s="146"/>
      <c r="K15" s="147"/>
      <c r="L15" s="197"/>
      <c r="M15" s="197"/>
      <c r="N15" s="197"/>
      <c r="O15" s="136"/>
      <c r="P15" s="197"/>
      <c r="Q15" s="195"/>
      <c r="S15" s="170"/>
      <c r="T15" s="170"/>
      <c r="U15" s="145"/>
      <c r="V15" s="146"/>
      <c r="W15" s="147"/>
    </row>
    <row r="16" spans="1:23" ht="18" customHeight="1" thickTop="1" thickBot="1" x14ac:dyDescent="0.3">
      <c r="A16" s="196" t="s">
        <v>366</v>
      </c>
      <c r="B16" s="160" t="str">
        <f ca="1">IF(B9&lt;10,"不允许",IF(B9&lt;30,"允许免费获得一重过载",IF(B9&lt;70,"允许免费获得一重过载",IF(B9&lt;110,"允许免费获得二重过载","允许免费获得二重过载"))))</f>
        <v>不允许</v>
      </c>
      <c r="C16" s="200"/>
      <c r="D16" s="161"/>
      <c r="E16" s="44"/>
      <c r="F16" s="196"/>
      <c r="G16" s="196"/>
      <c r="H16" s="140"/>
      <c r="I16" s="141"/>
      <c r="J16" s="141"/>
      <c r="K16" s="142"/>
      <c r="L16" s="196">
        <v>1</v>
      </c>
      <c r="M16" s="196">
        <v>0</v>
      </c>
      <c r="N16" s="196" t="s">
        <v>18</v>
      </c>
      <c r="O16" s="136" t="str">
        <f t="shared" si="8"/>
        <v>6</v>
      </c>
      <c r="P16" s="196">
        <v>5</v>
      </c>
      <c r="Q16" s="195">
        <f t="shared" ca="1" si="9"/>
        <v>31</v>
      </c>
      <c r="S16" s="169"/>
      <c r="T16" s="169"/>
      <c r="U16" s="140"/>
      <c r="V16" s="141"/>
      <c r="W16" s="142"/>
    </row>
    <row r="17" spans="1:23" ht="18" customHeight="1" thickTop="1" thickBot="1" x14ac:dyDescent="0.3">
      <c r="A17" s="197"/>
      <c r="B17" s="162"/>
      <c r="C17" s="201"/>
      <c r="D17" s="163"/>
      <c r="E17" s="44"/>
      <c r="F17" s="197"/>
      <c r="G17" s="197"/>
      <c r="H17" s="145"/>
      <c r="I17" s="146"/>
      <c r="J17" s="146"/>
      <c r="K17" s="147"/>
      <c r="L17" s="197"/>
      <c r="M17" s="197"/>
      <c r="N17" s="197"/>
      <c r="O17" s="136"/>
      <c r="P17" s="197"/>
      <c r="Q17" s="195"/>
      <c r="S17" s="170"/>
      <c r="T17" s="170"/>
      <c r="U17" s="145"/>
      <c r="V17" s="146"/>
      <c r="W17" s="147"/>
    </row>
    <row r="18" spans="1:23" ht="18" customHeight="1" thickTop="1" thickBot="1" x14ac:dyDescent="0.3">
      <c r="A18" s="198" t="s">
        <v>114</v>
      </c>
      <c r="B18" s="136">
        <f ca="1">IF(B1=A18,SUMIF(G:L,A18,L:L),SUMIF(G:L,A18,L:L)/2)</f>
        <v>0.5</v>
      </c>
      <c r="C18" s="196">
        <f ca="1">IF(B18&lt;10,1,IF(B18&lt;30,2,IF(B18&lt;70,3,IF(B18&lt;110,4,5))))</f>
        <v>1</v>
      </c>
      <c r="D18" s="151" t="str">
        <f ca="1">IF(B18&lt;10,"无",IF(B18&lt;30,"第二个及第二个以上的魔法效果只消耗1行动点",IF(B18&lt;70,"第二个及第二个以上的魔法效果只消耗1行动点、所有魔法效果消耗SP减半",IF(B18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18" s="44"/>
      <c r="F18" s="196"/>
      <c r="G18" s="196"/>
      <c r="H18" s="140"/>
      <c r="I18" s="141"/>
      <c r="J18" s="141"/>
      <c r="K18" s="142"/>
      <c r="L18" s="196">
        <v>1</v>
      </c>
      <c r="M18" s="196">
        <v>0</v>
      </c>
      <c r="N18" s="196" t="s">
        <v>18</v>
      </c>
      <c r="O18" s="136" t="str">
        <f t="shared" ref="O18" si="10">IF(L18&lt;10,"6",IF(L18&lt;20,"9",IF(L18&lt;30,"12",18)))</f>
        <v>6</v>
      </c>
      <c r="P18" s="196">
        <v>5</v>
      </c>
      <c r="Q18" s="195">
        <f t="shared" ref="Q18" ca="1" si="11">IF(SUM(INDIRECT("总表"&amp;"!K13"),L18)&lt;=50,SUM(INDIRECT("总表"&amp;"!K13"),L18),IF(SUM(INDIRECT("总表"&amp;"!K13"),L18)&lt;=80,(SUM(INDIRECT("总表"&amp;"!K13"),L18)-50)*0.7+50,(SUM(INDIRECT("总表"&amp;"!K13"),L18)-80)*0.4+71))</f>
        <v>31</v>
      </c>
      <c r="S18" s="169"/>
      <c r="T18" s="169"/>
      <c r="U18" s="140"/>
      <c r="V18" s="141"/>
      <c r="W18" s="142"/>
    </row>
    <row r="19" spans="1:23" ht="18" customHeight="1" thickTop="1" thickBot="1" x14ac:dyDescent="0.3">
      <c r="A19" s="198"/>
      <c r="B19" s="136"/>
      <c r="C19" s="199"/>
      <c r="D19" s="151"/>
      <c r="E19" s="44"/>
      <c r="F19" s="197"/>
      <c r="G19" s="197"/>
      <c r="H19" s="145"/>
      <c r="I19" s="146"/>
      <c r="J19" s="146"/>
      <c r="K19" s="147"/>
      <c r="L19" s="197"/>
      <c r="M19" s="197"/>
      <c r="N19" s="197"/>
      <c r="O19" s="136"/>
      <c r="P19" s="197"/>
      <c r="Q19" s="195"/>
      <c r="S19" s="170"/>
      <c r="T19" s="170"/>
      <c r="U19" s="145"/>
      <c r="V19" s="146"/>
      <c r="W19" s="147"/>
    </row>
    <row r="20" spans="1:23" ht="18" customHeight="1" thickTop="1" thickBot="1" x14ac:dyDescent="0.3">
      <c r="A20" s="198"/>
      <c r="B20" s="136"/>
      <c r="C20" s="199"/>
      <c r="D20" s="151"/>
      <c r="E20" s="44"/>
      <c r="F20" s="196"/>
      <c r="G20" s="196"/>
      <c r="H20" s="140"/>
      <c r="I20" s="141"/>
      <c r="J20" s="141"/>
      <c r="K20" s="142"/>
      <c r="L20" s="196">
        <v>1</v>
      </c>
      <c r="M20" s="196">
        <v>0</v>
      </c>
      <c r="N20" s="196" t="s">
        <v>18</v>
      </c>
      <c r="O20" s="136" t="str">
        <f t="shared" ref="O20" si="12">IF(L20&lt;10,"6",IF(L20&lt;20,"9",IF(L20&lt;30,"12",18)))</f>
        <v>6</v>
      </c>
      <c r="P20" s="196">
        <v>5</v>
      </c>
      <c r="Q20" s="195">
        <f t="shared" ref="Q20" ca="1" si="13">IF(SUM(INDIRECT("总表"&amp;"!K13"),L20)&lt;=50,SUM(INDIRECT("总表"&amp;"!K13"),L20),IF(SUM(INDIRECT("总表"&amp;"!K13"),L20)&lt;=80,(SUM(INDIRECT("总表"&amp;"!K13"),L20)-50)*0.7+50,(SUM(INDIRECT("总表"&amp;"!K13"),L20)-80)*0.4+71))</f>
        <v>31</v>
      </c>
      <c r="S20" s="169"/>
      <c r="T20" s="169"/>
      <c r="U20" s="140"/>
      <c r="V20" s="141"/>
      <c r="W20" s="142"/>
    </row>
    <row r="21" spans="1:23" ht="18" customHeight="1" thickTop="1" thickBot="1" x14ac:dyDescent="0.3">
      <c r="A21" s="198"/>
      <c r="B21" s="136"/>
      <c r="C21" s="199"/>
      <c r="D21" s="151"/>
      <c r="E21" s="44"/>
      <c r="F21" s="197"/>
      <c r="G21" s="197"/>
      <c r="H21" s="145"/>
      <c r="I21" s="146"/>
      <c r="J21" s="146"/>
      <c r="K21" s="147"/>
      <c r="L21" s="197"/>
      <c r="M21" s="197"/>
      <c r="N21" s="197"/>
      <c r="O21" s="136"/>
      <c r="P21" s="197"/>
      <c r="Q21" s="195"/>
      <c r="S21" s="170"/>
      <c r="T21" s="170"/>
      <c r="U21" s="145"/>
      <c r="V21" s="146"/>
      <c r="W21" s="147"/>
    </row>
    <row r="22" spans="1:23" ht="18" customHeight="1" thickTop="1" thickBot="1" x14ac:dyDescent="0.3">
      <c r="A22" s="198"/>
      <c r="B22" s="136"/>
      <c r="C22" s="197"/>
      <c r="D22" s="151"/>
      <c r="E22" s="44"/>
      <c r="F22" s="196"/>
      <c r="G22" s="196"/>
      <c r="H22" s="140"/>
      <c r="I22" s="141"/>
      <c r="J22" s="141"/>
      <c r="K22" s="142"/>
      <c r="L22" s="196">
        <v>1</v>
      </c>
      <c r="M22" s="196">
        <v>0</v>
      </c>
      <c r="N22" s="196" t="s">
        <v>18</v>
      </c>
      <c r="O22" s="136" t="str">
        <f>IF(L22&lt;10,"6",IF(L22&lt;20,"9",IF(L22&lt;30,"12",18)))</f>
        <v>6</v>
      </c>
      <c r="P22" s="196">
        <v>5</v>
      </c>
      <c r="Q22" s="195">
        <f ca="1">IF(SUM(INDIRECT("总表"&amp;"!K13"),L22)&lt;=50,SUM(INDIRECT("总表"&amp;"!K13"),L22),IF(SUM(INDIRECT("总表"&amp;"!K13"),L22)&lt;=80,(SUM(INDIRECT("总表"&amp;"!K13"),L22)-50)*0.7+50,(SUM(INDIRECT("总表"&amp;"!K13"),L22)-80)*0.4+71))</f>
        <v>31</v>
      </c>
      <c r="S22" s="169"/>
      <c r="T22" s="169"/>
      <c r="U22" s="140"/>
      <c r="V22" s="141"/>
      <c r="W22" s="142"/>
    </row>
    <row r="23" spans="1:23" ht="18" customHeight="1" thickTop="1" thickBot="1" x14ac:dyDescent="0.3">
      <c r="A23" s="198" t="s">
        <v>352</v>
      </c>
      <c r="B23" s="136">
        <f ca="1">IF(B1=A23,SUMIF(G:L,A23,L:L),SUMIF(G:L,A23,L:L)/2)</f>
        <v>0.5</v>
      </c>
      <c r="C23" s="196">
        <f ca="1">IF(B23&lt;10,1,IF(B23&lt;30,2,IF(B23&lt;70,3,IF(B23&lt;110,4,5))))</f>
        <v>1</v>
      </c>
      <c r="D23" s="151" t="str">
        <f ca="1">IF(B23&lt;10,"回归指令、逼近指令",IF(B23&lt;30,"回归指令、逼近指令、借机指令、蹲伏指令",IF(B23&lt;70,"回归指令、逼近指令、借机指令、蹲伏指令、反击指令、加密指令",IF(B23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23" s="44"/>
      <c r="F23" s="197"/>
      <c r="G23" s="197"/>
      <c r="H23" s="145"/>
      <c r="I23" s="146"/>
      <c r="J23" s="146"/>
      <c r="K23" s="147"/>
      <c r="L23" s="197"/>
      <c r="M23" s="197"/>
      <c r="N23" s="197"/>
      <c r="O23" s="136"/>
      <c r="P23" s="197"/>
      <c r="Q23" s="195"/>
      <c r="S23" s="170"/>
      <c r="T23" s="170"/>
      <c r="U23" s="145"/>
      <c r="V23" s="146"/>
      <c r="W23" s="147"/>
    </row>
    <row r="24" spans="1:23" ht="18" customHeight="1" thickTop="1" thickBot="1" x14ac:dyDescent="0.3">
      <c r="A24" s="198"/>
      <c r="B24" s="136"/>
      <c r="C24" s="199"/>
      <c r="D24" s="151"/>
      <c r="E24" s="44"/>
      <c r="F24" s="196"/>
      <c r="G24" s="196"/>
      <c r="H24" s="140"/>
      <c r="I24" s="141"/>
      <c r="J24" s="141"/>
      <c r="K24" s="142"/>
      <c r="L24" s="196">
        <v>1</v>
      </c>
      <c r="M24" s="196">
        <v>0</v>
      </c>
      <c r="N24" s="196" t="s">
        <v>18</v>
      </c>
      <c r="O24" s="136" t="str">
        <f t="shared" ref="O24" si="14">IF(L24&lt;10,"6",IF(L24&lt;20,"9",IF(L24&lt;30,"12",18)))</f>
        <v>6</v>
      </c>
      <c r="P24" s="196">
        <v>5</v>
      </c>
      <c r="Q24" s="195">
        <f t="shared" ref="Q24" ca="1" si="15">IF(SUM(INDIRECT("总表"&amp;"!K13"),L24)&lt;=50,SUM(INDIRECT("总表"&amp;"!K13"),L24),IF(SUM(INDIRECT("总表"&amp;"!K13"),L24)&lt;=80,(SUM(INDIRECT("总表"&amp;"!K13"),L24)-50)*0.7+50,(SUM(INDIRECT("总表"&amp;"!K13"),L24)-80)*0.4+71))</f>
        <v>31</v>
      </c>
      <c r="S24" s="169"/>
      <c r="T24" s="169"/>
      <c r="U24" s="140"/>
      <c r="V24" s="141"/>
      <c r="W24" s="142"/>
    </row>
    <row r="25" spans="1:23" ht="18" customHeight="1" thickTop="1" thickBot="1" x14ac:dyDescent="0.3">
      <c r="A25" s="198"/>
      <c r="B25" s="136"/>
      <c r="C25" s="199"/>
      <c r="D25" s="151"/>
      <c r="E25" s="44"/>
      <c r="F25" s="197"/>
      <c r="G25" s="197"/>
      <c r="H25" s="145"/>
      <c r="I25" s="146"/>
      <c r="J25" s="146"/>
      <c r="K25" s="147"/>
      <c r="L25" s="197"/>
      <c r="M25" s="197"/>
      <c r="N25" s="197"/>
      <c r="O25" s="136"/>
      <c r="P25" s="197"/>
      <c r="Q25" s="195"/>
      <c r="S25" s="170"/>
      <c r="T25" s="170"/>
      <c r="U25" s="145"/>
      <c r="V25" s="146"/>
      <c r="W25" s="147"/>
    </row>
    <row r="26" spans="1:23" ht="18" customHeight="1" thickTop="1" thickBot="1" x14ac:dyDescent="0.3">
      <c r="A26" s="198"/>
      <c r="B26" s="136"/>
      <c r="C26" s="199"/>
      <c r="D26" s="151"/>
      <c r="E26" s="44"/>
      <c r="F26" s="196"/>
      <c r="G26" s="196"/>
      <c r="H26" s="140"/>
      <c r="I26" s="141"/>
      <c r="J26" s="141"/>
      <c r="K26" s="142"/>
      <c r="L26" s="196">
        <v>1</v>
      </c>
      <c r="M26" s="196">
        <v>0</v>
      </c>
      <c r="N26" s="196" t="s">
        <v>18</v>
      </c>
      <c r="O26" s="136" t="str">
        <f t="shared" ref="O26" si="16">IF(L26&lt;10,"6",IF(L26&lt;20,"9",IF(L26&lt;30,"12",18)))</f>
        <v>6</v>
      </c>
      <c r="P26" s="196">
        <v>5</v>
      </c>
      <c r="Q26" s="195">
        <f t="shared" ref="Q26" ca="1" si="17">IF(SUM(INDIRECT("总表"&amp;"!K13"),L26)&lt;=50,SUM(INDIRECT("总表"&amp;"!K13"),L26),IF(SUM(INDIRECT("总表"&amp;"!K13"),L26)&lt;=80,(SUM(INDIRECT("总表"&amp;"!K13"),L26)-50)*0.7+50,(SUM(INDIRECT("总表"&amp;"!K13"),L26)-80)*0.4+71))</f>
        <v>31</v>
      </c>
      <c r="S26" s="169"/>
      <c r="T26" s="169"/>
      <c r="U26" s="140"/>
      <c r="V26" s="141"/>
      <c r="W26" s="142"/>
    </row>
    <row r="27" spans="1:23" ht="18" customHeight="1" thickTop="1" thickBot="1" x14ac:dyDescent="0.3">
      <c r="A27" s="198"/>
      <c r="B27" s="136"/>
      <c r="C27" s="197"/>
      <c r="D27" s="151"/>
      <c r="E27" s="44"/>
      <c r="F27" s="197"/>
      <c r="G27" s="197"/>
      <c r="H27" s="145"/>
      <c r="I27" s="146"/>
      <c r="J27" s="146"/>
      <c r="K27" s="147"/>
      <c r="L27" s="197"/>
      <c r="M27" s="197"/>
      <c r="N27" s="197"/>
      <c r="O27" s="136"/>
      <c r="P27" s="197"/>
      <c r="Q27" s="195"/>
      <c r="S27" s="170"/>
      <c r="T27" s="170"/>
      <c r="U27" s="145"/>
      <c r="V27" s="146"/>
      <c r="W27" s="147"/>
    </row>
    <row r="28" spans="1:23" ht="18" customHeight="1" thickTop="1" x14ac:dyDescent="0.25"/>
    <row r="52" spans="1:1" ht="18" customHeight="1" x14ac:dyDescent="0.25">
      <c r="A52" t="s">
        <v>362</v>
      </c>
    </row>
    <row r="53" spans="1:1" ht="18" customHeight="1" x14ac:dyDescent="0.25">
      <c r="A53" t="s">
        <v>112</v>
      </c>
    </row>
    <row r="54" spans="1:1" ht="18" customHeight="1" x14ac:dyDescent="0.25">
      <c r="A54" t="s">
        <v>114</v>
      </c>
    </row>
    <row r="55" spans="1:1" ht="18" customHeight="1" x14ac:dyDescent="0.25">
      <c r="A55" t="s">
        <v>352</v>
      </c>
    </row>
  </sheetData>
  <mergeCells count="178">
    <mergeCell ref="A1:A2"/>
    <mergeCell ref="B1:B2"/>
    <mergeCell ref="C1:D2"/>
    <mergeCell ref="H1:K1"/>
    <mergeCell ref="M1:O1"/>
    <mergeCell ref="S1:T2"/>
    <mergeCell ref="U1:W2"/>
    <mergeCell ref="F2:F3"/>
    <mergeCell ref="G2:G3"/>
    <mergeCell ref="H2:K3"/>
    <mergeCell ref="L2:L3"/>
    <mergeCell ref="M2:M3"/>
    <mergeCell ref="N2:N3"/>
    <mergeCell ref="O2:O3"/>
    <mergeCell ref="P2:P3"/>
    <mergeCell ref="Q2:Q3"/>
    <mergeCell ref="H4:K5"/>
    <mergeCell ref="L4:L5"/>
    <mergeCell ref="P4:P5"/>
    <mergeCell ref="Q4:Q5"/>
    <mergeCell ref="S5:W6"/>
    <mergeCell ref="O6:O7"/>
    <mergeCell ref="P6:P7"/>
    <mergeCell ref="Q6:Q7"/>
    <mergeCell ref="U7:W7"/>
    <mergeCell ref="S3:T4"/>
    <mergeCell ref="U3:W4"/>
    <mergeCell ref="S8:S9"/>
    <mergeCell ref="T8:T9"/>
    <mergeCell ref="U8:W9"/>
    <mergeCell ref="F8:F9"/>
    <mergeCell ref="G8:G9"/>
    <mergeCell ref="H8:K9"/>
    <mergeCell ref="L8:L9"/>
    <mergeCell ref="M8:M9"/>
    <mergeCell ref="N8:N9"/>
    <mergeCell ref="A9:A13"/>
    <mergeCell ref="B9:B13"/>
    <mergeCell ref="C9:C13"/>
    <mergeCell ref="D9:D13"/>
    <mergeCell ref="F10:F11"/>
    <mergeCell ref="G10:G11"/>
    <mergeCell ref="O8:O9"/>
    <mergeCell ref="P8:P9"/>
    <mergeCell ref="Q8:Q9"/>
    <mergeCell ref="A4:A8"/>
    <mergeCell ref="B4:B8"/>
    <mergeCell ref="C4:C8"/>
    <mergeCell ref="D4:D8"/>
    <mergeCell ref="F6:F7"/>
    <mergeCell ref="G6:G7"/>
    <mergeCell ref="H6:K7"/>
    <mergeCell ref="L6:L7"/>
    <mergeCell ref="M6:M7"/>
    <mergeCell ref="N6:N7"/>
    <mergeCell ref="M4:M5"/>
    <mergeCell ref="N4:N5"/>
    <mergeCell ref="O4:O5"/>
    <mergeCell ref="F4:F5"/>
    <mergeCell ref="G4:G5"/>
    <mergeCell ref="U12:W13"/>
    <mergeCell ref="Q10:Q11"/>
    <mergeCell ref="S10:S11"/>
    <mergeCell ref="T10:T11"/>
    <mergeCell ref="U10:W11"/>
    <mergeCell ref="F12:F13"/>
    <mergeCell ref="G12:G13"/>
    <mergeCell ref="H12:K13"/>
    <mergeCell ref="L12:L13"/>
    <mergeCell ref="M12:M13"/>
    <mergeCell ref="N12:N13"/>
    <mergeCell ref="H10:K11"/>
    <mergeCell ref="L10:L11"/>
    <mergeCell ref="M10:M11"/>
    <mergeCell ref="N10:N11"/>
    <mergeCell ref="O10:O11"/>
    <mergeCell ref="P10:P11"/>
    <mergeCell ref="F14:F15"/>
    <mergeCell ref="G14:G15"/>
    <mergeCell ref="H14:K15"/>
    <mergeCell ref="L14:L15"/>
    <mergeCell ref="O12:O13"/>
    <mergeCell ref="P12:P13"/>
    <mergeCell ref="Q12:Q13"/>
    <mergeCell ref="S12:S13"/>
    <mergeCell ref="T12:T13"/>
    <mergeCell ref="O16:O17"/>
    <mergeCell ref="P16:P17"/>
    <mergeCell ref="Q16:Q17"/>
    <mergeCell ref="S16:S17"/>
    <mergeCell ref="T16:T17"/>
    <mergeCell ref="U16:W17"/>
    <mergeCell ref="T14:T15"/>
    <mergeCell ref="U14:W15"/>
    <mergeCell ref="A16:A17"/>
    <mergeCell ref="B16:D17"/>
    <mergeCell ref="F16:F17"/>
    <mergeCell ref="G16:G17"/>
    <mergeCell ref="H16:K17"/>
    <mergeCell ref="L16:L17"/>
    <mergeCell ref="M16:M17"/>
    <mergeCell ref="N16:N17"/>
    <mergeCell ref="M14:M15"/>
    <mergeCell ref="N14:N15"/>
    <mergeCell ref="O14:O15"/>
    <mergeCell ref="P14:P15"/>
    <mergeCell ref="Q14:Q15"/>
    <mergeCell ref="S14:S15"/>
    <mergeCell ref="A14:A15"/>
    <mergeCell ref="B14:D15"/>
    <mergeCell ref="F20:F21"/>
    <mergeCell ref="G20:G21"/>
    <mergeCell ref="H20:K21"/>
    <mergeCell ref="L20:L21"/>
    <mergeCell ref="M20:M21"/>
    <mergeCell ref="N20:N21"/>
    <mergeCell ref="H18:K19"/>
    <mergeCell ref="L18:L19"/>
    <mergeCell ref="M18:M19"/>
    <mergeCell ref="N18:N19"/>
    <mergeCell ref="F18:F19"/>
    <mergeCell ref="G18:G19"/>
    <mergeCell ref="O20:O21"/>
    <mergeCell ref="P20:P21"/>
    <mergeCell ref="Q20:Q21"/>
    <mergeCell ref="S20:S21"/>
    <mergeCell ref="T20:T21"/>
    <mergeCell ref="U20:W21"/>
    <mergeCell ref="Q18:Q19"/>
    <mergeCell ref="S18:S19"/>
    <mergeCell ref="T18:T19"/>
    <mergeCell ref="U18:W19"/>
    <mergeCell ref="O18:O19"/>
    <mergeCell ref="P18:P19"/>
    <mergeCell ref="Q22:Q23"/>
    <mergeCell ref="S22:S23"/>
    <mergeCell ref="T22:T23"/>
    <mergeCell ref="U22:W23"/>
    <mergeCell ref="A23:A27"/>
    <mergeCell ref="B23:B27"/>
    <mergeCell ref="C23:C27"/>
    <mergeCell ref="D23:D27"/>
    <mergeCell ref="F24:F25"/>
    <mergeCell ref="G24:G25"/>
    <mergeCell ref="H22:K23"/>
    <mergeCell ref="L22:L23"/>
    <mergeCell ref="M22:M23"/>
    <mergeCell ref="N22:N23"/>
    <mergeCell ref="O22:O23"/>
    <mergeCell ref="P22:P23"/>
    <mergeCell ref="A18:A22"/>
    <mergeCell ref="B18:B22"/>
    <mergeCell ref="C18:C22"/>
    <mergeCell ref="D18:D22"/>
    <mergeCell ref="F22:F23"/>
    <mergeCell ref="G22:G23"/>
    <mergeCell ref="F26:F27"/>
    <mergeCell ref="G26:G27"/>
    <mergeCell ref="H26:K27"/>
    <mergeCell ref="L26:L27"/>
    <mergeCell ref="M26:M27"/>
    <mergeCell ref="N26:N27"/>
    <mergeCell ref="H24:K25"/>
    <mergeCell ref="L24:L25"/>
    <mergeCell ref="M24:M25"/>
    <mergeCell ref="N24:N25"/>
    <mergeCell ref="O26:O27"/>
    <mergeCell ref="O24:O25"/>
    <mergeCell ref="P26:P27"/>
    <mergeCell ref="Q26:Q27"/>
    <mergeCell ref="S26:S27"/>
    <mergeCell ref="T26:T27"/>
    <mergeCell ref="U26:W27"/>
    <mergeCell ref="Q24:Q25"/>
    <mergeCell ref="S24:S25"/>
    <mergeCell ref="T24:T25"/>
    <mergeCell ref="U24:W25"/>
    <mergeCell ref="P24:P25"/>
  </mergeCells>
  <phoneticPr fontId="1" type="noConversion"/>
  <dataValidations count="1">
    <dataValidation type="list" allowBlank="1" showInputMessage="1" showErrorMessage="1" sqref="G2:G27 B1:B2" xr:uid="{6DD376AB-B137-44A5-80F5-FADC9C7FF7EF}">
      <formula1>$A$52:$A$55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9F2F9-104B-408A-91A1-ADF66E0EE104}">
  <sheetPr codeName="Sheet9"/>
  <dimension ref="A1:U25"/>
  <sheetViews>
    <sheetView workbookViewId="0">
      <selection activeCell="H9" sqref="H9:P9"/>
    </sheetView>
  </sheetViews>
  <sheetFormatPr defaultColWidth="9.77734375" defaultRowHeight="20.399999999999999" customHeight="1" x14ac:dyDescent="0.25"/>
  <sheetData>
    <row r="1" spans="1:21" ht="20.399999999999999" customHeight="1" thickTop="1" thickBot="1" x14ac:dyDescent="0.4">
      <c r="A1" s="227" t="s">
        <v>250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R1" s="39"/>
      <c r="S1" s="39"/>
      <c r="T1" s="39"/>
      <c r="U1" s="39"/>
    </row>
    <row r="2" spans="1:21" ht="20.399999999999999" customHeight="1" thickTop="1" thickBot="1" x14ac:dyDescent="0.3">
      <c r="A2" s="58" t="s">
        <v>132</v>
      </c>
      <c r="B2" s="228" t="s">
        <v>133</v>
      </c>
      <c r="C2" s="228"/>
      <c r="D2" s="228"/>
      <c r="E2" s="58" t="s">
        <v>136</v>
      </c>
      <c r="F2" s="228">
        <v>7</v>
      </c>
      <c r="G2" s="228" t="s">
        <v>135</v>
      </c>
      <c r="H2" s="228" t="s">
        <v>160</v>
      </c>
      <c r="I2" s="58" t="s">
        <v>134</v>
      </c>
      <c r="J2" s="228" t="s">
        <v>161</v>
      </c>
      <c r="K2" s="228"/>
      <c r="L2" s="228"/>
      <c r="M2" s="59" t="s">
        <v>135</v>
      </c>
      <c r="N2" s="228" t="s">
        <v>160</v>
      </c>
      <c r="O2" s="228"/>
      <c r="P2" s="228"/>
      <c r="R2" s="39"/>
      <c r="S2" s="39"/>
      <c r="T2" s="39"/>
      <c r="U2" s="39"/>
    </row>
    <row r="3" spans="1:21" ht="20.399999999999999" customHeight="1" thickTop="1" thickBot="1" x14ac:dyDescent="0.3">
      <c r="A3" s="229" t="s">
        <v>251</v>
      </c>
      <c r="B3" s="228" t="s">
        <v>252</v>
      </c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R3" s="39"/>
      <c r="S3" s="39"/>
      <c r="T3" s="39"/>
      <c r="U3" s="39"/>
    </row>
    <row r="4" spans="1:21" ht="20.399999999999999" customHeight="1" thickTop="1" thickBot="1" x14ac:dyDescent="0.3">
      <c r="A4" s="229"/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R4" s="39"/>
      <c r="S4" s="39"/>
      <c r="T4" s="39"/>
      <c r="U4" s="39"/>
    </row>
    <row r="5" spans="1:21" ht="20.399999999999999" customHeight="1" thickTop="1" thickBot="1" x14ac:dyDescent="0.3">
      <c r="A5" s="230" t="s">
        <v>368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R5" s="39"/>
      <c r="S5" s="39"/>
      <c r="T5" s="39"/>
      <c r="U5" s="39"/>
    </row>
    <row r="6" spans="1:21" ht="20.399999999999999" customHeight="1" thickTop="1" thickBot="1" x14ac:dyDescent="0.3">
      <c r="A6" s="230"/>
      <c r="B6" s="230"/>
      <c r="C6" s="230"/>
      <c r="D6" s="230"/>
      <c r="E6" s="230"/>
      <c r="F6" s="230"/>
      <c r="G6" s="230"/>
      <c r="H6" s="230"/>
      <c r="I6" s="230"/>
      <c r="J6" s="230"/>
      <c r="K6" s="230"/>
      <c r="L6" s="230"/>
      <c r="M6" s="230"/>
      <c r="N6" s="230"/>
      <c r="O6" s="230"/>
      <c r="P6" s="230"/>
      <c r="R6" s="39"/>
      <c r="S6" s="39"/>
      <c r="T6" s="39"/>
      <c r="U6" s="39"/>
    </row>
    <row r="7" spans="1:21" ht="30" customHeight="1" thickTop="1" thickBot="1" x14ac:dyDescent="0.3">
      <c r="A7" s="60" t="s">
        <v>253</v>
      </c>
      <c r="B7" s="60" t="s">
        <v>254</v>
      </c>
      <c r="C7" s="231" t="s">
        <v>255</v>
      </c>
      <c r="D7" s="231"/>
      <c r="E7" s="231"/>
      <c r="F7" s="231"/>
      <c r="G7" s="231"/>
      <c r="H7" s="231" t="s">
        <v>256</v>
      </c>
      <c r="I7" s="231"/>
      <c r="J7" s="231"/>
      <c r="K7" s="231"/>
      <c r="L7" s="231"/>
      <c r="M7" s="231"/>
      <c r="N7" s="231"/>
      <c r="O7" s="231"/>
      <c r="P7" s="231"/>
      <c r="R7" s="39"/>
      <c r="S7" s="39"/>
      <c r="T7" s="39"/>
      <c r="U7" s="39"/>
    </row>
    <row r="8" spans="1:21" ht="48" customHeight="1" thickTop="1" thickBot="1" x14ac:dyDescent="0.3">
      <c r="A8" s="61" t="s">
        <v>109</v>
      </c>
      <c r="B8" s="61">
        <v>2</v>
      </c>
      <c r="C8" s="226" t="s">
        <v>261</v>
      </c>
      <c r="D8" s="226"/>
      <c r="E8" s="226"/>
      <c r="F8" s="226"/>
      <c r="G8" s="226"/>
      <c r="H8" s="226" t="s">
        <v>257</v>
      </c>
      <c r="I8" s="226"/>
      <c r="J8" s="226"/>
      <c r="K8" s="226"/>
      <c r="L8" s="226"/>
      <c r="M8" s="226"/>
      <c r="N8" s="226"/>
      <c r="O8" s="226"/>
      <c r="P8" s="226"/>
      <c r="R8" s="39"/>
      <c r="S8" s="39"/>
      <c r="T8" s="39"/>
      <c r="U8" s="39"/>
    </row>
    <row r="9" spans="1:21" ht="48" customHeight="1" thickTop="1" thickBot="1" x14ac:dyDescent="0.3">
      <c r="A9" s="61" t="s">
        <v>258</v>
      </c>
      <c r="B9" s="61">
        <v>5</v>
      </c>
      <c r="C9" s="226" t="s">
        <v>262</v>
      </c>
      <c r="D9" s="226"/>
      <c r="E9" s="226"/>
      <c r="F9" s="226"/>
      <c r="G9" s="226"/>
      <c r="H9" s="226" t="s">
        <v>260</v>
      </c>
      <c r="I9" s="226"/>
      <c r="J9" s="226"/>
      <c r="K9" s="226"/>
      <c r="L9" s="226"/>
      <c r="M9" s="226"/>
      <c r="N9" s="226"/>
      <c r="O9" s="226"/>
      <c r="P9" s="226"/>
      <c r="R9" s="39"/>
      <c r="S9" s="39"/>
      <c r="T9" s="39"/>
      <c r="U9" s="39"/>
    </row>
    <row r="10" spans="1:21" ht="48" customHeight="1" thickTop="1" thickBot="1" x14ac:dyDescent="0.3">
      <c r="A10" s="61" t="s">
        <v>259</v>
      </c>
      <c r="B10" s="61">
        <v>5</v>
      </c>
      <c r="C10" s="226" t="s">
        <v>263</v>
      </c>
      <c r="D10" s="226"/>
      <c r="E10" s="226"/>
      <c r="F10" s="226"/>
      <c r="G10" s="226"/>
      <c r="H10" s="226" t="s">
        <v>264</v>
      </c>
      <c r="I10" s="226"/>
      <c r="J10" s="226"/>
      <c r="K10" s="226"/>
      <c r="L10" s="226"/>
      <c r="M10" s="226"/>
      <c r="N10" s="226"/>
      <c r="O10" s="226"/>
      <c r="P10" s="226"/>
      <c r="R10" s="39"/>
      <c r="S10" s="39"/>
      <c r="T10" s="39"/>
      <c r="U10" s="39"/>
    </row>
    <row r="11" spans="1:21" ht="48" customHeight="1" thickTop="1" thickBot="1" x14ac:dyDescent="0.3">
      <c r="A11" s="61"/>
      <c r="B11" s="61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R11" s="39"/>
      <c r="S11" s="39"/>
      <c r="T11" s="39"/>
      <c r="U11" s="39"/>
    </row>
    <row r="12" spans="1:21" ht="48" customHeight="1" thickTop="1" thickBot="1" x14ac:dyDescent="0.3">
      <c r="A12" s="61"/>
      <c r="B12" s="61"/>
      <c r="C12" s="226"/>
      <c r="D12" s="226"/>
      <c r="E12" s="226"/>
      <c r="F12" s="226"/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R12" s="39"/>
      <c r="S12" s="39"/>
      <c r="T12" s="39"/>
      <c r="U12" s="39"/>
    </row>
    <row r="13" spans="1:21" ht="48" customHeight="1" thickTop="1" thickBot="1" x14ac:dyDescent="0.3">
      <c r="A13" s="61"/>
      <c r="B13" s="61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6"/>
      <c r="P13" s="226"/>
      <c r="R13" s="39"/>
      <c r="S13" s="39"/>
      <c r="T13" s="39"/>
      <c r="U13" s="39"/>
    </row>
    <row r="14" spans="1:21" ht="48" customHeight="1" thickTop="1" thickBot="1" x14ac:dyDescent="0.3">
      <c r="A14" s="61"/>
      <c r="B14" s="61"/>
      <c r="C14" s="226"/>
      <c r="D14" s="226"/>
      <c r="E14" s="226"/>
      <c r="F14" s="226"/>
      <c r="G14" s="226"/>
      <c r="H14" s="226"/>
      <c r="I14" s="226"/>
      <c r="J14" s="226"/>
      <c r="K14" s="226"/>
      <c r="L14" s="226"/>
      <c r="M14" s="226"/>
      <c r="N14" s="226"/>
      <c r="O14" s="226"/>
      <c r="P14" s="226"/>
      <c r="S14" s="39"/>
      <c r="T14" s="39"/>
      <c r="U14" s="39"/>
    </row>
    <row r="15" spans="1:21" ht="48" customHeight="1" thickTop="1" thickBot="1" x14ac:dyDescent="0.3">
      <c r="A15" s="61"/>
      <c r="B15" s="61"/>
      <c r="C15" s="226"/>
      <c r="D15" s="226"/>
      <c r="E15" s="226"/>
      <c r="F15" s="226"/>
      <c r="G15" s="226"/>
      <c r="H15" s="226"/>
      <c r="I15" s="226"/>
      <c r="J15" s="226"/>
      <c r="K15" s="226"/>
      <c r="L15" s="226"/>
      <c r="M15" s="226"/>
      <c r="N15" s="226"/>
      <c r="O15" s="226"/>
      <c r="P15" s="226"/>
      <c r="S15" s="39"/>
      <c r="T15" s="39"/>
      <c r="U15" s="39"/>
    </row>
    <row r="16" spans="1:21" ht="48" customHeight="1" thickTop="1" thickBot="1" x14ac:dyDescent="0.3">
      <c r="A16" s="61"/>
      <c r="B16" s="61"/>
      <c r="C16" s="226"/>
      <c r="D16" s="226"/>
      <c r="E16" s="226"/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S16" s="39"/>
      <c r="T16" s="39"/>
      <c r="U16" s="39"/>
    </row>
    <row r="17" spans="1:21" ht="48" customHeight="1" thickTop="1" thickBot="1" x14ac:dyDescent="0.3">
      <c r="A17" s="61"/>
      <c r="B17" s="61"/>
      <c r="C17" s="226"/>
      <c r="D17" s="226"/>
      <c r="E17" s="226"/>
      <c r="F17" s="226"/>
      <c r="G17" s="226"/>
      <c r="H17" s="226"/>
      <c r="I17" s="226"/>
      <c r="J17" s="226"/>
      <c r="K17" s="226"/>
      <c r="L17" s="226"/>
      <c r="M17" s="226"/>
      <c r="N17" s="226"/>
      <c r="O17" s="226"/>
      <c r="P17" s="226"/>
      <c r="S17" s="39"/>
      <c r="T17" s="39"/>
      <c r="U17" s="39"/>
    </row>
    <row r="18" spans="1:21" ht="48" customHeight="1" thickTop="1" thickBot="1" x14ac:dyDescent="0.3">
      <c r="A18" s="61"/>
      <c r="B18" s="61"/>
      <c r="C18" s="226"/>
      <c r="D18" s="226"/>
      <c r="E18" s="226"/>
      <c r="F18" s="226"/>
      <c r="G18" s="226"/>
      <c r="H18" s="226"/>
      <c r="I18" s="226"/>
      <c r="J18" s="226"/>
      <c r="K18" s="226"/>
      <c r="L18" s="226"/>
      <c r="M18" s="226"/>
      <c r="N18" s="226"/>
      <c r="O18" s="226"/>
      <c r="P18" s="226"/>
    </row>
    <row r="19" spans="1:21" ht="48" customHeight="1" thickTop="1" thickBot="1" x14ac:dyDescent="0.3">
      <c r="A19" s="61"/>
      <c r="B19" s="61"/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6"/>
      <c r="O19" s="226"/>
      <c r="P19" s="226"/>
    </row>
    <row r="20" spans="1:21" ht="48" customHeight="1" thickTop="1" thickBot="1" x14ac:dyDescent="0.3">
      <c r="A20" s="61"/>
      <c r="B20" s="61"/>
      <c r="C20" s="226"/>
      <c r="D20" s="226"/>
      <c r="E20" s="226"/>
      <c r="F20" s="226"/>
      <c r="G20" s="226"/>
      <c r="H20" s="226"/>
      <c r="I20" s="226"/>
      <c r="J20" s="226"/>
      <c r="K20" s="226"/>
      <c r="L20" s="226"/>
      <c r="M20" s="226"/>
      <c r="N20" s="226"/>
      <c r="O20" s="226"/>
      <c r="P20" s="226"/>
    </row>
    <row r="21" spans="1:21" ht="48" customHeight="1" thickTop="1" thickBot="1" x14ac:dyDescent="0.3">
      <c r="A21" s="61"/>
      <c r="B21" s="61"/>
      <c r="C21" s="226"/>
      <c r="D21" s="226"/>
      <c r="E21" s="226"/>
      <c r="F21" s="226"/>
      <c r="G21" s="226"/>
      <c r="H21" s="226"/>
      <c r="I21" s="226"/>
      <c r="J21" s="226"/>
      <c r="K21" s="226"/>
      <c r="L21" s="226"/>
      <c r="M21" s="226"/>
      <c r="N21" s="226"/>
      <c r="O21" s="226"/>
      <c r="P21" s="226"/>
    </row>
    <row r="22" spans="1:21" ht="48" customHeight="1" thickTop="1" thickBot="1" x14ac:dyDescent="0.3">
      <c r="A22" s="61"/>
      <c r="B22" s="61"/>
      <c r="C22" s="226"/>
      <c r="D22" s="226"/>
      <c r="E22" s="226"/>
      <c r="F22" s="226"/>
      <c r="G22" s="226"/>
      <c r="H22" s="226"/>
      <c r="I22" s="226"/>
      <c r="J22" s="226"/>
      <c r="K22" s="226"/>
      <c r="L22" s="226"/>
      <c r="M22" s="226"/>
      <c r="N22" s="226"/>
      <c r="O22" s="226"/>
      <c r="P22" s="226"/>
    </row>
    <row r="23" spans="1:21" ht="48" customHeight="1" thickTop="1" thickBot="1" x14ac:dyDescent="0.3">
      <c r="A23" s="61"/>
      <c r="B23" s="61"/>
      <c r="C23" s="226"/>
      <c r="D23" s="226"/>
      <c r="E23" s="226"/>
      <c r="F23" s="226"/>
      <c r="G23" s="226"/>
      <c r="H23" s="226"/>
      <c r="I23" s="226"/>
      <c r="J23" s="226"/>
      <c r="K23" s="226"/>
      <c r="L23" s="226"/>
      <c r="M23" s="226"/>
      <c r="N23" s="226"/>
      <c r="O23" s="226"/>
      <c r="P23" s="226"/>
    </row>
    <row r="24" spans="1:21" ht="48" customHeight="1" thickTop="1" thickBot="1" x14ac:dyDescent="0.3">
      <c r="A24" s="61"/>
      <c r="B24" s="61"/>
      <c r="C24" s="226"/>
      <c r="D24" s="226"/>
      <c r="E24" s="226"/>
      <c r="F24" s="226"/>
      <c r="G24" s="226"/>
      <c r="H24" s="226"/>
      <c r="I24" s="226"/>
      <c r="J24" s="226"/>
      <c r="K24" s="226"/>
      <c r="L24" s="226"/>
      <c r="M24" s="226"/>
      <c r="N24" s="226"/>
      <c r="O24" s="226"/>
      <c r="P24" s="226"/>
    </row>
    <row r="25" spans="1:21" ht="20.399999999999999" customHeight="1" thickTop="1" x14ac:dyDescent="0.25"/>
  </sheetData>
  <protectedRanges>
    <protectedRange sqref="H2 F2 B2:B4 N2 J2" name="角色基础信息区域"/>
  </protectedRanges>
  <mergeCells count="44">
    <mergeCell ref="C22:G22"/>
    <mergeCell ref="H22:P22"/>
    <mergeCell ref="C23:G23"/>
    <mergeCell ref="H23:P23"/>
    <mergeCell ref="C24:G24"/>
    <mergeCell ref="H24:P24"/>
    <mergeCell ref="C19:G19"/>
    <mergeCell ref="H19:P19"/>
    <mergeCell ref="C20:G20"/>
    <mergeCell ref="H20:P20"/>
    <mergeCell ref="C21:G21"/>
    <mergeCell ref="H21:P21"/>
    <mergeCell ref="C16:G16"/>
    <mergeCell ref="H16:P16"/>
    <mergeCell ref="C17:G17"/>
    <mergeCell ref="H17:P17"/>
    <mergeCell ref="C18:G18"/>
    <mergeCell ref="H18:P18"/>
    <mergeCell ref="C13:G13"/>
    <mergeCell ref="H13:P13"/>
    <mergeCell ref="C14:G14"/>
    <mergeCell ref="H14:P14"/>
    <mergeCell ref="C15:G15"/>
    <mergeCell ref="H15:P15"/>
    <mergeCell ref="C10:G10"/>
    <mergeCell ref="H10:P10"/>
    <mergeCell ref="C11:G11"/>
    <mergeCell ref="H11:P11"/>
    <mergeCell ref="C12:G12"/>
    <mergeCell ref="H12:P12"/>
    <mergeCell ref="C9:G9"/>
    <mergeCell ref="H9:P9"/>
    <mergeCell ref="A1:P1"/>
    <mergeCell ref="B2:D2"/>
    <mergeCell ref="F2:H2"/>
    <mergeCell ref="J2:L2"/>
    <mergeCell ref="N2:P2"/>
    <mergeCell ref="A3:A4"/>
    <mergeCell ref="B3:P4"/>
    <mergeCell ref="A5:P6"/>
    <mergeCell ref="C7:G7"/>
    <mergeCell ref="H7:P7"/>
    <mergeCell ref="C8:G8"/>
    <mergeCell ref="H8:P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KEN JIANG</cp:lastModifiedBy>
  <dcterms:created xsi:type="dcterms:W3CDTF">2015-06-05T18:19:34Z</dcterms:created>
  <dcterms:modified xsi:type="dcterms:W3CDTF">2024-03-13T15:27:54Z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</Properties>
</file>