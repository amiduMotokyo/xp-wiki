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856448B1-0DCB-45D8-960F-2B4573B7C55B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坐骑" sheetId="20" r:id="rId8"/>
    <sheet name="各种技能" sheetId="5" r:id="rId9"/>
    <sheet name="被动战技与战术" sheetId="21" r:id="rId10"/>
    <sheet name="特殊战技与姿态战术" sheetId="22" r:id="rId11"/>
    <sheet name="魔法" sheetId="9" r:id="rId12"/>
    <sheet name="社群与职业" sheetId="8" r:id="rId13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4" i="5" l="1"/>
  <c r="U33" i="5"/>
  <c r="I13" i="18"/>
  <c r="I15" i="18" s="1"/>
  <c r="I17" i="18" s="1"/>
  <c r="I19" i="18" s="1"/>
  <c r="I21" i="18" s="1"/>
  <c r="I23" i="18" s="1"/>
  <c r="I25" i="18" s="1"/>
  <c r="I27" i="18" s="1"/>
  <c r="I29" i="18" s="1"/>
  <c r="I11" i="18"/>
  <c r="J5" i="18"/>
  <c r="E3" i="18"/>
  <c r="S19" i="9"/>
  <c r="C11" i="9"/>
  <c r="C5" i="20"/>
  <c r="F19" i="20" s="1"/>
  <c r="F4" i="20"/>
  <c r="H5" i="20" s="1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G18" i="1" a="1"/>
  <c r="G19" i="1" a="1"/>
  <c r="H3" i="1" a="1"/>
  <c r="K22" i="1" a="1"/>
  <c r="H11" i="1" a="1"/>
  <c r="H5" i="1" a="1"/>
  <c r="H22" i="1" a="1"/>
  <c r="G17" i="1" a="1"/>
  <c r="C26" i="1" a="1"/>
  <c r="G22" i="1" a="1"/>
  <c r="H9" i="1" a="1"/>
  <c r="K17" i="1" a="1"/>
  <c r="U12" i="1" a="1"/>
  <c r="H13" i="1" a="1"/>
  <c r="H17" i="1" a="1"/>
  <c r="K18" i="1" a="1"/>
  <c r="N14" i="1"/>
  <c r="G20" i="1" a="1"/>
  <c r="K20" i="1" a="1"/>
  <c r="K19" i="1" a="1"/>
  <c r="H19" i="1" a="1"/>
  <c r="H18" i="1" a="1"/>
  <c r="H7" i="1" a="1"/>
  <c r="H20" i="1" a="1"/>
  <c r="D5" i="18" l="1"/>
  <c r="H3" i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J5" i="4" a="1"/>
  <c r="U1" i="17" a="1"/>
  <c r="U1" i="17" l="1"/>
  <c r="J12" i="4"/>
  <c r="J5" i="4"/>
  <c r="AD4" i="9"/>
  <c r="N4" i="9"/>
  <c r="Q1" i="17" l="1"/>
  <c r="A20" i="4" l="1"/>
  <c r="A19" i="4"/>
  <c r="AH2" i="1"/>
  <c r="AF2" i="1"/>
  <c r="AD2" i="1"/>
  <c r="AB2" i="1"/>
  <c r="S7" i="9" l="1"/>
  <c r="S3" i="9" s="1"/>
  <c r="AH3" i="9"/>
  <c r="AH11" i="9" s="1"/>
  <c r="S11" i="9" l="1"/>
  <c r="I9" i="18"/>
  <c r="M13" i="20" l="1"/>
  <c r="S13" i="20" s="1"/>
  <c r="Q13" i="20"/>
  <c r="C16" i="20"/>
  <c r="I16" i="20" s="1"/>
  <c r="G19" i="20"/>
  <c r="G16" i="20"/>
  <c r="E5" i="20"/>
  <c r="G39" i="1"/>
  <c r="G38" i="1"/>
  <c r="G37" i="1"/>
  <c r="G36" i="1"/>
  <c r="H39" i="1"/>
  <c r="H38" i="1"/>
  <c r="H37" i="1"/>
  <c r="H36" i="1"/>
  <c r="I19" i="20" l="1"/>
  <c r="S9" i="1" l="1"/>
  <c r="G30" i="1" s="1"/>
  <c r="S6" i="1"/>
  <c r="G31" i="1" s="1"/>
  <c r="G32" i="1"/>
  <c r="C7" i="9" l="1"/>
  <c r="C3" i="9" s="1"/>
  <c r="K11" i="1" l="1"/>
  <c r="B30" i="1" s="1"/>
  <c r="C29" i="5"/>
  <c r="C28" i="5"/>
  <c r="C27" i="5"/>
  <c r="G29" i="5" l="1"/>
  <c r="G27" i="5"/>
  <c r="G28" i="5"/>
  <c r="K9" i="1"/>
  <c r="B34" i="1" s="1"/>
  <c r="K7" i="1"/>
  <c r="K13" i="1"/>
  <c r="C25" i="5"/>
  <c r="F4" i="9" a="1"/>
  <c r="Y12" i="5"/>
  <c r="Y13" i="5"/>
  <c r="Y24" i="5"/>
  <c r="C21" i="5"/>
  <c r="Y10" i="5"/>
  <c r="Y22" i="5"/>
  <c r="Y8" i="5"/>
  <c r="Y7" i="5"/>
  <c r="Y6" i="5"/>
  <c r="Y26" i="5"/>
  <c r="Y25" i="5"/>
  <c r="O3" i="1" a="1"/>
  <c r="Y19" i="5"/>
  <c r="Y16" i="5"/>
  <c r="V4" i="9" a="1"/>
  <c r="Y27" i="5"/>
  <c r="Y20" i="5"/>
  <c r="Y18" i="5"/>
  <c r="Y17" i="5"/>
  <c r="Y28" i="5"/>
  <c r="Y23" i="5"/>
  <c r="Y14" i="5"/>
  <c r="Y4" i="5"/>
  <c r="C24" i="5"/>
  <c r="C22" i="5"/>
  <c r="C23" i="5"/>
  <c r="Y9" i="5"/>
  <c r="Y21" i="5"/>
  <c r="C20" i="5"/>
  <c r="Y11" i="5"/>
  <c r="Y15" i="5"/>
  <c r="Y5" i="5"/>
  <c r="V4" i="9" l="1"/>
  <c r="AE4" i="9" s="1"/>
  <c r="F4" i="9"/>
  <c r="P4" i="9" s="1"/>
  <c r="B32" i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S17" i="9"/>
  <c r="O6" i="1"/>
  <c r="U6" i="1" s="1"/>
  <c r="H31" i="1" s="1"/>
  <c r="B29" i="1"/>
  <c r="N34" i="5"/>
  <c r="N33" i="5"/>
  <c r="T17" i="1" a="1"/>
  <c r="N17" i="1" a="1"/>
  <c r="N22" i="5"/>
  <c r="N19" i="5"/>
  <c r="C3" i="21" a="1"/>
  <c r="N24" i="5"/>
  <c r="N13" i="5"/>
  <c r="C15" i="5"/>
  <c r="C26" i="22"/>
  <c r="C20" i="22"/>
  <c r="C22" i="22"/>
  <c r="N14" i="5"/>
  <c r="C18" i="5"/>
  <c r="N5" i="5"/>
  <c r="N8" i="5"/>
  <c r="C5" i="5"/>
  <c r="N23" i="5"/>
  <c r="C18" i="22"/>
  <c r="N17" i="5"/>
  <c r="Q17" i="1" a="1"/>
  <c r="N11" i="5"/>
  <c r="C12" i="5"/>
  <c r="C32" i="5"/>
  <c r="N6" i="5"/>
  <c r="C16" i="5"/>
  <c r="C16" i="22"/>
  <c r="N27" i="5"/>
  <c r="C11" i="5"/>
  <c r="N30" i="5"/>
  <c r="C6" i="5"/>
  <c r="N20" i="5"/>
  <c r="C17" i="5"/>
  <c r="C13" i="5"/>
  <c r="N18" i="5"/>
  <c r="C9" i="5"/>
  <c r="N16" i="5"/>
  <c r="C10" i="5"/>
  <c r="N12" i="5"/>
  <c r="N29" i="5"/>
  <c r="N25" i="5"/>
  <c r="C24" i="22"/>
  <c r="N9" i="5"/>
  <c r="N28" i="5"/>
  <c r="C7" i="5"/>
  <c r="N32" i="5"/>
  <c r="N7" i="5"/>
  <c r="C3" i="22" a="1"/>
  <c r="C31" i="5"/>
  <c r="R34" i="5" l="1"/>
  <c r="R33" i="5"/>
  <c r="G31" i="5"/>
  <c r="G32" i="5"/>
  <c r="R14" i="5"/>
  <c r="C3" i="22"/>
  <c r="M18" i="22"/>
  <c r="M16" i="22"/>
  <c r="C3" i="21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Q15" i="1"/>
  <c r="N15" i="1"/>
  <c r="C16" i="1"/>
  <c r="C15" i="1"/>
  <c r="T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G4" authorId="0" shapeId="0" xr:uid="{58040DA7-A801-41F3-886C-96663B03AFBC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W4" authorId="0" shapeId="0" xr:uid="{A6939A68-A35B-44C6-B587-6BA0A549E86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AL4" authorId="0" shapeId="0" xr:uid="{336F823F-0C4A-40F5-B393-C4B44E951F12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海神赐福效果内部附加说明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<sst xmlns="http://schemas.openxmlformats.org/spreadsheetml/2006/main" count="858" uniqueCount="401">
  <si>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</si>
  <si>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</si>
  <si>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</si>
  <si>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</si>
  <si>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</si>
  <si>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</si>
  <si>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</si>
  <si>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</si>
  <si>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</si>
  <si>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</si>
  <si>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</si>
  <si>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</si>
  <si>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</si>
  <si>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</si>
  <si>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</si>
  <si>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</si>
  <si>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</si>
  <si>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</si>
  <si>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</si>
  <si>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</si>
  <si>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</si>
  <si>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</si>
  <si>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</si>
  <si>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</si>
  <si>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</si>
  <si>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</si>
  <si>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</si>
  <si>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</si>
  <si>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</si>
  <si>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</si>
  <si>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</si>
  <si>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</si>
  <si>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</si>
  <si>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</si>
  <si>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</si>
  <si>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</si>
  <si>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</si>
  <si>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</si>
  <si>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特殊效果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</si>
  <si>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</si>
  <si>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</si>
  <si>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</si>
  <si>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</si>
  <si>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</si>
  <si>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</si>
  <si>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</si>
  <si>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</si>
  <si>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</si>
  <si>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</si>
  <si>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</si>
  <si>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</si>
  <si>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</si>
  <si>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</si>
  <si>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</si>
  <si>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</si>
  <si>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</si>
  <si>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</si>
  <si>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</si>
  <si>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</si>
  <si>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</si>
  <si>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</si>
  <si>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</si>
  <si>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</si>
  <si>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</si>
  <si>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</si>
  <si>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</si>
  <si>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</si>
  <si>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</si>
  <si>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</si>
  <si>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</si>
  <si>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</si>
  <si>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</si>
  <si>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</si>
  <si>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</si>
  <si>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</si>
  <si>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</si>
  <si>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</si>
  <si>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</si>
  <si>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</si>
  <si>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</si>
  <si>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</si>
  <si>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</si>
  <si>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</si>
  <si>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</si>
  <si>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</si>
  <si>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</si>
  <si>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</si>
  <si>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</si>
  <si>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</si>
  <si>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</si>
  <si>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</si>
  <si>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</si>
  <si>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</si>
  <si>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</si>
  <si>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</si>
  <si>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</si>
  <si>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</si>
  <si>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</si>
  <si>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</si>
  <si>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</si>
  <si>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</si>
  <si>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</si>
  <si>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</si>
  <si>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</si>
  <si>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</si>
  <si>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棒槌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</si>
  <si>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</si>
  <si>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</si>
  <si>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</si>
  <si>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</si>
  <si>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</si>
  <si>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海神赐福</t>
    <phoneticPr fontId="1" type="noConversion"/>
  </si>
  <si>
    <t>将5×5的场地改造成水域，进入该区域的角色相当于进入水下</t>
    <phoneticPr fontId="1" type="noConversion"/>
  </si>
  <si>
    <t>御海行者</t>
    <phoneticPr fontId="1" type="noConversion"/>
  </si>
  <si>
    <t>旋涡之法</t>
    <phoneticPr fontId="1" type="noConversion"/>
  </si>
  <si>
    <t>等级</t>
    <phoneticPr fontId="1" type="noConversion"/>
  </si>
  <si>
    <t>是否为主修流派</t>
    <phoneticPr fontId="1" type="noConversion"/>
  </si>
  <si>
    <t>流派经验</t>
    <phoneticPr fontId="1" type="noConversion"/>
  </si>
  <si>
    <t>升级所需流派经验</t>
    <phoneticPr fontId="1" type="noConversion"/>
  </si>
  <si>
    <t>连发加成</t>
    <phoneticPr fontId="1" type="noConversion"/>
  </si>
  <si>
    <t>经验获取手段</t>
    <phoneticPr fontId="1" type="noConversion"/>
  </si>
  <si>
    <t>每1级本流派魔法熟练度等级可以提供1点流派经验值</t>
    <phoneticPr fontId="1" type="noConversion"/>
  </si>
  <si>
    <t>旋涡之法流派魔法</t>
    <phoneticPr fontId="1" type="noConversion"/>
  </si>
  <si>
    <t>心神之法</t>
    <phoneticPr fontId="1" type="noConversion"/>
  </si>
  <si>
    <t>心神之法流派魔法</t>
    <phoneticPr fontId="1" type="noConversion"/>
  </si>
  <si>
    <t>允许过载效果</t>
    <phoneticPr fontId="1" type="noConversion"/>
  </si>
  <si>
    <t>√</t>
    <phoneticPr fontId="1" type="noConversion"/>
  </si>
  <si>
    <t>仪式之法</t>
    <phoneticPr fontId="1" type="noConversion"/>
  </si>
  <si>
    <t>仪式之法流派魔法</t>
    <phoneticPr fontId="1" type="noConversion"/>
  </si>
  <si>
    <t>魔法效果附加</t>
    <phoneticPr fontId="1" type="noConversion"/>
  </si>
  <si>
    <t>每一次仪式可以提供1点流派等级经验值，每学会一种新的本流派魔法，一次性提供5点流派等级经验值</t>
    <phoneticPr fontId="1" type="noConversion"/>
  </si>
  <si>
    <t>所需材料</t>
    <phoneticPr fontId="1" type="noConversion"/>
  </si>
  <si>
    <t>村纱神签*2</t>
    <phoneticPr fontId="1" type="noConversion"/>
  </si>
  <si>
    <t>仪式之法专用材料背包</t>
    <phoneticPr fontId="1" type="noConversion"/>
  </si>
  <si>
    <t>数量</t>
    <phoneticPr fontId="1" type="noConversion"/>
  </si>
  <si>
    <t>村纱神签</t>
    <phoneticPr fontId="1" type="noConversion"/>
  </si>
  <si>
    <t>村纱神社专供神签，是释放村纱家族赐福阴阳术所必备的材料。</t>
    <phoneticPr fontId="1" type="noConversion"/>
  </si>
  <si>
    <t>弱点</t>
    <phoneticPr fontId="1" type="noConversion"/>
  </si>
  <si>
    <t>施法者躯干</t>
    <phoneticPr fontId="1" type="noConversion"/>
  </si>
  <si>
    <t>过劳过载</t>
    <phoneticPr fontId="1" type="noConversion"/>
  </si>
  <si>
    <t>准备时间</t>
    <phoneticPr fontId="1" type="noConversion"/>
  </si>
  <si>
    <t>3行动轮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</si>
  <si>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</si>
  <si>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</si>
  <si>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</si>
  <si>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</si>
  <si>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</si>
  <si>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</si>
  <si>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</si>
  <si>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</si>
  <si>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</si>
  <si>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</si>
  <si>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</si>
  <si>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</si>
  <si>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</si>
  <si>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</si>
  <si>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</si>
  <si>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</si>
  <si>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</si>
  <si>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</si>
  <si>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</si>
  <si>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</si>
  <si>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</si>
  <si>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</si>
  <si>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</si>
  <si>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</si>
  <si>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</si>
  <si>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</si>
  <si>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</si>
  <si>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</si>
  <si>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</si>
  <si>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</si>
  <si>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</si>
  <si>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</si>
  <si>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</si>
  <si>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</si>
  <si>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</si>
  <si>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魔法1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</si>
  <si>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</si>
  <si>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</si>
  <si>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</si>
  <si>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</si>
  <si>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</si>
  <si>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</si>
  <si>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</si>
  <si>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</si>
  <si>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</si>
  <si>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</si>
  <si>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</si>
  <si>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</si>
  <si>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升级记录</t>
    <phoneticPr fontId="1" type="noConversion"/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</si>
  <si>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</si>
  <si>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</si>
  <si>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</si>
  <si>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</si>
  <si>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</si>
  <si>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</si>
  <si>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</si>
  <si>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</si>
  <si>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</si>
  <si>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</si>
  <si>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</si>
  <si>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</si>
  <si>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</si>
  <si>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</si>
  <si>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</si>
  <si>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</si>
  <si>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</si>
  <si>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</si>
  <si>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</si>
  <si>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</si>
  <si>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</si>
  <si>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</si>
  <si>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</si>
  <si>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</si>
  <si>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</si>
  <si>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</si>
  <si>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</si>
  <si>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</si>
  <si>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</si>
  <si>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</si>
  <si>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</si>
  <si>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</si>
  <si>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</si>
  <si>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</si>
  <si>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</si>
  <si>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</si>
  <si>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</si>
  <si>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</si>
  <si>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</si>
  <si>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</si>
  <si>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</si>
  <si>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</si>
  <si>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</si>
  <si>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</si>
  <si>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</si>
  <si>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</si>
  <si>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</si>
  <si>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</si>
  <si>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</si>
  <si>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</si>
  <si>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</si>
  <si>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</si>
  <si>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</si>
  <si>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</si>
  <si>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</si>
  <si>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</si>
  <si>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</si>
  <si>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</si>
  <si>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</si>
  <si>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</si>
  <si>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</si>
  <si>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</si>
  <si>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</si>
  <si>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</si>
  <si>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</si>
  <si>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</si>
  <si>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</si>
  <si>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</si>
  <si>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</si>
  <si>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</si>
  <si>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</si>
  <si>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</si>
  <si>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</si>
  <si>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</si>
  <si>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</si>
  <si>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</si>
  <si>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</si>
  <si>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</si>
  <si>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</si>
  <si>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</si>
  <si>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</si>
  <si>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</si>
  <si>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</si>
  <si>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坐骑防具</t>
    <phoneticPr fontId="1" type="noConversion"/>
  </si>
  <si>
    <t>马具套组</t>
    <phoneticPr fontId="1" type="noConversion"/>
  </si>
  <si>
    <t>性能阈值</t>
    <phoneticPr fontId="1" type="noConversion"/>
  </si>
  <si>
    <t>坐骑</t>
    <phoneticPr fontId="1" type="noConversion"/>
  </si>
  <si>
    <t>矮脚马</t>
    <phoneticPr fontId="1" type="noConversion"/>
  </si>
  <si>
    <t>马</t>
    <phoneticPr fontId="1" type="noConversion"/>
  </si>
  <si>
    <t>战马</t>
    <phoneticPr fontId="1" type="noConversion"/>
  </si>
  <si>
    <t>性能</t>
    <phoneticPr fontId="1" type="noConversion"/>
  </si>
  <si>
    <t>威力</t>
    <phoneticPr fontId="1" type="noConversion"/>
  </si>
  <si>
    <t>机动</t>
    <phoneticPr fontId="1" type="noConversion"/>
  </si>
  <si>
    <t>天狗国常见的马的品种</t>
    <phoneticPr fontId="1" type="noConversion"/>
  </si>
  <si>
    <t>骑乘状态行动点（AP）</t>
    <phoneticPr fontId="1" type="noConversion"/>
  </si>
  <si>
    <t>骑乘者基础行动点</t>
    <phoneticPr fontId="1" type="noConversion"/>
  </si>
  <si>
    <t>坐骑行动点</t>
    <phoneticPr fontId="1" type="noConversion"/>
  </si>
  <si>
    <t>坐骑体力（HP）</t>
    <phoneticPr fontId="1" type="noConversion"/>
  </si>
  <si>
    <t>坐骑防具额外生命值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</si>
  <si>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</si>
  <si>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</si>
  <si>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</si>
  <si>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</si>
  <si>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</si>
  <si>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主职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</si>
  <si>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</si>
  <si>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</si>
  <si>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</si>
  <si>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</si>
  <si>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</si>
  <si>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兼职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</si>
  <si>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</si>
  <si>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</si>
  <si>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</si>
  <si>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</si>
  <si>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</si>
  <si>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</si>
  <si>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</si>
  <si>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</si>
  <si>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</si>
  <si>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</si>
  <si>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</si>
  <si>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</si>
  <si>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</si>
  <si>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</si>
  <si>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</si>
  <si>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</si>
  <si>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</si>
  <si>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</si>
  <si>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</si>
  <si>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</si>
  <si>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</si>
  <si>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</si>
  <si>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</si>
  <si>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</si>
  <si>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</si>
  <si>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</si>
  <si>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</si>
  <si>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</si>
  <si>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</si>
  <si>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</si>
  <si>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</si>
  <si>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</si>
  <si>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</si>
  <si>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</si>
  <si>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</si>
  <si>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</si>
  <si>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</si>
  <si>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</si>
  <si>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</si>
  <si>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</si>
  <si>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</si>
  <si>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</si>
  <si>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</si>
  <si>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</si>
  <si>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</si>
  <si>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</si>
  <si>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</si>
  <si>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</si>
  <si>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</si>
  <si>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</si>
  <si>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</si>
  <si>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</si>
  <si>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</si>
  <si>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</si>
  <si>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</si>
  <si>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</si>
  <si>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</si>
  <si>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</si>
  <si>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</si>
  <si>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</si>
  <si>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</si>
  <si>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</si>
  <si>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</si>
  <si>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</si>
  <si>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</si>
  <si>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</si>
  <si>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</si>
  <si>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</si>
  <si>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</si>
  <si>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</si>
  <si>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</si>
  <si>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</si>
  <si>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</si>
  <si>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</si>
  <si>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</si>
  <si>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</si>
  <si>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</si>
  <si>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</si>
  <si>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注：若自身水平未达到坐骑要求，则在上侧填写坐骑完整的属性，在这里填写坐骑降级后的属性</t>
    <phoneticPr fontId="1" type="noConversion"/>
  </si>
  <si>
    <t>注：若自身水平未达到坐骑防具要求，则在上侧填写坐骑防具完整的属性，在这里填写坐骑防具降级后的属性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</si>
  <si>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</si>
  <si>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</si>
  <si>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</si>
  <si>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</si>
  <si>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</si>
  <si>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</si>
  <si>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</si>
  <si>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</si>
  <si>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</si>
  <si>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</si>
  <si>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</si>
  <si>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</si>
  <si>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性能加成</t>
    <phoneticPr fontId="1" type="noConversion"/>
  </si>
  <si>
    <t>机动加成</t>
    <phoneticPr fontId="1" type="noConversion"/>
  </si>
  <si>
    <t>允许免费获得过载</t>
    <phoneticPr fontId="1" type="noConversion"/>
  </si>
  <si>
    <t>属性点补偿</t>
    <phoneticPr fontId="1" type="noConversion"/>
  </si>
  <si>
    <t>盾类武器</t>
    <phoneticPr fontId="1" type="noConversion"/>
  </si>
  <si>
    <t>轻盾</t>
    <phoneticPr fontId="1" type="noConversion"/>
  </si>
  <si>
    <t>长盾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</si>
</sst>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4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charset val="134"/>
    </font>
    <font>
      <b/>
      <sz val="12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17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35" fillId="0" borderId="33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3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177" fontId="0" fillId="0" borderId="40" xfId="0" applyNumberFormat="1" applyBorder="1" applyAlignment="1">
      <alignment horizontal="center"/>
    </xf>
    <xf numFmtId="0" fontId="36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2" fillId="0" borderId="34" xfId="1" applyBorder="1" applyAlignment="1">
      <alignment horizontal="center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44" fillId="0" borderId="51" xfId="0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3" fillId="6" borderId="33" xfId="6" applyFont="1" applyFill="1" applyBorder="1" applyAlignment="1">
      <alignment horizontal="left" vertical="center"/>
    </xf>
    <xf numFmtId="0" fontId="33" fillId="7" borderId="33" xfId="6" applyFont="1" applyFill="1" applyBorder="1" applyAlignment="1">
      <alignment horizontal="left" vertical="center"/>
    </xf>
    <xf numFmtId="0" fontId="32" fillId="7" borderId="33" xfId="6" applyFont="1" applyFill="1" applyBorder="1" applyAlignment="1">
      <alignment horizontal="left" vertical="center"/>
    </xf>
    <xf numFmtId="0" fontId="33" fillId="8" borderId="33" xfId="6" applyFont="1" applyFill="1" applyBorder="1" applyAlignment="1">
      <alignment horizontal="left" vertical="center"/>
    </xf>
    <xf numFmtId="0" fontId="32" fillId="8" borderId="33" xfId="6" applyFont="1" applyFill="1" applyBorder="1" applyAlignment="1">
      <alignment horizontal="left" vertical="center"/>
    </xf>
    <xf numFmtId="0" fontId="0" fillId="0" borderId="33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31" fillId="0" borderId="27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6" fillId="0" borderId="18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4" fillId="0" borderId="27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/>
    </xf>
    <xf numFmtId="0" fontId="27" fillId="0" borderId="2" xfId="1" applyFon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D3F8810-AC5F-4041-A610-0BC9626E8F2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C9886FF-D72C-494D-86AF-031E2A7151B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5EF802-FC7B-42CC-BCEF-A0555DB8603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F98869C-5672-490C-8312-863FB0980FE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6B7DB6-5A7C-4475-8122-66375E5E837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BE66E64-15CC-4FF4-BC02-DF74B6773A0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D3AEEA-4E8E-457F-8761-B319F457D93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04F5F3C-6364-4679-BD41-3719A69D25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411FF7-AA7A-480B-8EA6-1F0C4036B22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CD14027-EC6A-4B3C-8647-784862383FB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3E96B5-79AA-41FA-A300-81E1EE91B62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68808CC-CFB9-44E6-9A50-C9F529145E0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B2FBA5-56DF-47E3-8AEE-1FA45820650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445602C-19B7-45A3-9AB3-E138F7628C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3B735E-FA86-47FF-AC47-B5E47760D5C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D8147FC-B3B2-400D-9D9D-5B9FA9F9814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4078FF-85CB-46BC-B8C2-BA049592D51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F4F64A4-6AE7-4294-8AF4-3710C636AF6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79B0B3-3CAC-42E2-8B7D-31C66CFC3AB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4751FAC-E7A5-4BF5-8DB0-0B7C463E02A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F7E284-EC48-4F22-B700-01265D43D07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02783AA-E077-450F-8202-C35A6A332B7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6A37A4-66C2-4A97-9047-5B919271DB4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810C680-520E-435D-8E44-11111EB0486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283B17-9442-44F3-973E-83E74D70813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5C7DD52-2E8A-4AC1-B313-CC6C98C76FD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33FEE9-5668-4882-84A5-00D9D7468B0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6050D74-07BB-43B1-81ED-640E087F4CD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B083F8-DAE8-40D2-8ABD-3E37E80C610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85B7AB6B-F2FC-4BDA-A561-B25545B6A86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BE0B5C-D6A4-477A-9109-87F27352DAB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6CE3480-187A-4C28-B9EB-0FB6977588E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40A714-C994-4C6E-9F60-D4330F5BA74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D171A2F-1BFF-48AC-8776-3FE6E873618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B1B168-D522-41CD-AD98-7945562704B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C7F0876-DDF2-4097-8361-2AE76902EE8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9BC914-FCB5-4769-A4A1-548BD27264E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A487F87-8B74-402C-B031-70ECF3D46EE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33BADB-56C7-430F-A930-07D84CD169C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D7CEFFE-1D92-4ABD-9E75-883AA83852C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B6769C-761E-4839-9638-056E3CCECE5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C08F205-8C01-4BB4-B1C3-9CCB0811091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E3F239-B528-4071-BAB0-5110FA80A1B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1F586C5-59A0-47D9-8EDA-E5E074E33E1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B88933-275A-47DC-8FF0-2447F1F9DB7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ED84D21-FA9E-47D1-8868-0982995A5AE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EDB9AE8-3FE2-42F2-95DB-24A8695DE91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256ACA5-DFF1-4197-8B03-A0390C9514F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FAD062-0AE3-4305-8DA2-49364E7B2B2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6048BE5-4E70-4387-AB13-2523FA7F5BD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A58C7A-D85E-4077-8633-5F5E1266F46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5359FAD-4086-4D1E-A74F-70C68D65412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A57B93-982E-4D07-8F34-55E3A59A4E1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7182B2E-7F34-4D35-B2C7-D0C4DB69DC5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5A7413-ACDA-4AC8-8685-47EFD1FE1A7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E71C769-4BBF-4542-A7D8-430E7AD4207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43BAE8-BE39-47F0-ABD6-6D3A118A767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3AD04DB-D9EC-4516-B30A-1898A83CBCE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BC23A5-11DB-4C0C-96CC-043FDD40CCE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29AA8E4-9B21-4C0A-B8A9-67767779B21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8599D-F351-47CC-A1F8-4357A31DE58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BD3F39B-3FBB-48EE-8978-7DE7A7883F6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1E9906-4736-4452-93C7-E8DF01C771C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3BE6377-07AA-4625-99F3-36E21546FA7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52C648-1158-4EC6-A525-F8E8F0261BF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D8F2943-3866-443E-85B1-065F98ED465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D1669B-92EB-415E-AC8B-7B6F9E0A929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BAE76EE-0E7B-4638-9DFE-90F2CABEBA3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DFB035-B02B-4398-A2E4-7947147168D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FA08F35-19FB-41A4-B98E-50132A67887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E1F0A9-850E-4EFA-92AC-391EAF7C4E2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B02F695-A7DB-4E84-A49C-27CB9299D01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5AB44A-7D41-4E3F-BB9D-4C1B0BA2012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915C0FA-48F6-4B1C-91CD-BD7F91C3625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400F9A-BF5A-4C2A-9DDE-7DFFB0EF9CB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A5CF437-CAAE-4C17-9F8D-9C558D3CA65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96DCBB-FA2E-4EAF-9108-16DB1A99493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8DA424A-CD44-4588-8CC6-71A267268C4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CC9221-C76F-42D9-94A0-35BBA229096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6D56E83-D7FD-4C95-90DD-7EE0C2E0BC8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E316FB-BC07-4E57-BE69-BB444D480AA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C6D6221-65E7-45E4-864B-DC3CD51FA9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6B2BD3-324C-490B-A477-1C5405A9EA4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730E31A-C986-42A5-9CA7-EF726CAD502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463BB8-9B2E-4024-92AD-C030C93EDE4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210CCBA-2541-4EBD-8D2C-1A0753D6870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CAFF95-E26E-41F6-AA08-6D42FD1AE13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EE4F2B1-5D1C-4DC1-8231-551B9FA05A7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activeCell="H22" sqref="H22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83" t="s">
        <v>0</v>
      </c>
      <c r="B1" s="83"/>
      <c r="C1" s="83"/>
      <c r="D1" s="83"/>
      <c r="F1" s="100" t="s">
        <v>11</v>
      </c>
      <c r="G1" s="100"/>
      <c r="H1" s="100"/>
      <c r="I1" s="100"/>
      <c r="J1" s="100"/>
      <c r="K1" s="100"/>
      <c r="M1" s="101" t="s">
        <v>202</v>
      </c>
      <c r="N1" s="101"/>
      <c r="O1" s="101"/>
      <c r="P1" s="101"/>
      <c r="Q1" s="101"/>
      <c r="R1" s="106"/>
      <c r="S1" s="106"/>
      <c r="T1" s="106"/>
      <c r="U1" s="106"/>
      <c r="V1" s="47"/>
      <c r="X1" s="71"/>
      <c r="Y1" s="64"/>
      <c r="Z1" s="62" t="s">
        <v>338</v>
      </c>
      <c r="AA1" s="64"/>
      <c r="AB1" s="62" t="s">
        <v>333</v>
      </c>
      <c r="AC1" s="64"/>
      <c r="AD1" s="62" t="s">
        <v>334</v>
      </c>
      <c r="AE1" s="64"/>
      <c r="AF1" s="62" t="s">
        <v>335</v>
      </c>
      <c r="AG1" s="64"/>
      <c r="AH1" s="62" t="s">
        <v>341</v>
      </c>
      <c r="AI1" s="64"/>
      <c r="AJ1" s="62" t="s">
        <v>342</v>
      </c>
      <c r="AK1" s="63"/>
    </row>
    <row r="2" spans="1:39" ht="20.399999999999999" customHeight="1" thickTop="1" thickBot="1" x14ac:dyDescent="0.3">
      <c r="A2" s="24" t="s">
        <v>1</v>
      </c>
      <c r="B2" s="99" t="s">
        <v>385</v>
      </c>
      <c r="C2" s="99"/>
      <c r="D2" s="99"/>
      <c r="F2" s="107" t="s">
        <v>12</v>
      </c>
      <c r="G2" s="1" t="s">
        <v>34</v>
      </c>
      <c r="H2" s="1" t="s">
        <v>35</v>
      </c>
      <c r="I2" s="1" t="s">
        <v>201</v>
      </c>
      <c r="J2" s="1" t="s">
        <v>9</v>
      </c>
      <c r="K2" s="2" t="s">
        <v>10</v>
      </c>
      <c r="M2" s="92" t="s">
        <v>19</v>
      </c>
      <c r="N2" s="92"/>
      <c r="O2" s="92"/>
      <c r="P2" s="92" t="s">
        <v>20</v>
      </c>
      <c r="Q2" s="92"/>
      <c r="R2" s="92"/>
      <c r="S2" s="92" t="s">
        <v>21</v>
      </c>
      <c r="T2" s="92"/>
      <c r="U2" s="92"/>
      <c r="V2" s="49"/>
      <c r="X2" s="71" t="s">
        <v>337</v>
      </c>
      <c r="Y2" s="64"/>
      <c r="Z2" s="62">
        <v>51</v>
      </c>
      <c r="AA2" s="64"/>
      <c r="AB2" s="62">
        <f>SUMIFS(Z11:AA90,AH11:AI90,AH10)</f>
        <v>30</v>
      </c>
      <c r="AC2" s="64"/>
      <c r="AD2" s="62">
        <f>SUMIFS(AB11:AC90,AH11:AI90,AH10)</f>
        <v>2</v>
      </c>
      <c r="AE2" s="64"/>
      <c r="AF2" s="62">
        <f>SUMIFS(AD11:AE90,AH11:AI90,AH10)</f>
        <v>-30</v>
      </c>
      <c r="AG2" s="64"/>
      <c r="AH2" s="62">
        <f>SUMIFS(AF11:AG90,AH11:AI90,AH10)</f>
        <v>0.5</v>
      </c>
      <c r="AI2" s="64"/>
      <c r="AJ2" s="62">
        <v>0</v>
      </c>
      <c r="AK2" s="63"/>
      <c r="AL2" s="65"/>
      <c r="AM2" s="65"/>
    </row>
    <row r="3" spans="1:39" ht="20.399999999999999" customHeight="1" thickTop="1" thickBot="1" x14ac:dyDescent="0.3">
      <c r="A3" s="24" t="s">
        <v>162</v>
      </c>
      <c r="B3" s="99" t="s">
        <v>386</v>
      </c>
      <c r="C3" s="99"/>
      <c r="D3" s="99"/>
      <c r="F3" s="108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6">
        <v>55</v>
      </c>
      <c r="N3" s="36" t="s">
        <v>18</v>
      </c>
      <c r="O3" s="36" cm="1">
        <f t="array" aca="1" ref="O3" ca="1">K7+INDIRECT("经历点数与履历"&amp;"!E3")</f>
        <v>55</v>
      </c>
      <c r="P3" s="36">
        <v>0</v>
      </c>
      <c r="Q3" s="36" t="s">
        <v>18</v>
      </c>
      <c r="R3" s="36">
        <v>0</v>
      </c>
      <c r="S3" s="36">
        <f>M3+P3</f>
        <v>55</v>
      </c>
      <c r="T3" s="36" t="s">
        <v>18</v>
      </c>
      <c r="U3" s="36">
        <f ca="1">O3+R3</f>
        <v>55</v>
      </c>
      <c r="V3" s="48"/>
      <c r="X3" s="72" t="s">
        <v>339</v>
      </c>
      <c r="Y3" s="73"/>
      <c r="Z3" s="66" t="s">
        <v>343</v>
      </c>
      <c r="AA3" s="67"/>
      <c r="AB3" s="67"/>
      <c r="AC3" s="67"/>
      <c r="AD3" s="67"/>
      <c r="AE3" s="68"/>
      <c r="AF3" s="66" t="s">
        <v>344</v>
      </c>
      <c r="AG3" s="67"/>
      <c r="AH3" s="67"/>
      <c r="AI3" s="67"/>
      <c r="AJ3" s="67"/>
      <c r="AK3" s="69"/>
      <c r="AL3" s="65"/>
      <c r="AM3" s="65"/>
    </row>
    <row r="4" spans="1:39" ht="20.399999999999999" customHeight="1" thickTop="1" thickBot="1" x14ac:dyDescent="0.3">
      <c r="A4" s="24" t="s">
        <v>50</v>
      </c>
      <c r="B4" s="54" t="s">
        <v>161</v>
      </c>
      <c r="C4" s="24" t="s">
        <v>2</v>
      </c>
      <c r="D4" s="54" t="s">
        <v>387</v>
      </c>
      <c r="F4" s="109" t="s">
        <v>13</v>
      </c>
      <c r="G4" s="3" t="s">
        <v>34</v>
      </c>
      <c r="H4" s="3" t="s">
        <v>35</v>
      </c>
      <c r="I4" s="3" t="s">
        <v>201</v>
      </c>
      <c r="J4" s="3" t="s">
        <v>9</v>
      </c>
      <c r="K4" s="4" t="s">
        <v>10</v>
      </c>
      <c r="M4" s="102" t="s">
        <v>22</v>
      </c>
      <c r="N4" s="103"/>
      <c r="O4" s="103"/>
      <c r="P4" s="103"/>
      <c r="Q4" s="103"/>
      <c r="R4" s="106"/>
      <c r="S4" s="106"/>
      <c r="T4" s="106"/>
      <c r="U4" s="106"/>
      <c r="V4" s="47"/>
      <c r="AJ4" s="65"/>
      <c r="AK4" s="65"/>
    </row>
    <row r="5" spans="1:39" ht="20.399999999999999" customHeight="1" thickTop="1" thickBot="1" x14ac:dyDescent="0.3">
      <c r="A5" s="24" t="s">
        <v>164</v>
      </c>
      <c r="B5" s="54">
        <v>387</v>
      </c>
      <c r="C5" s="24" t="s">
        <v>163</v>
      </c>
      <c r="D5" s="54" t="s">
        <v>388</v>
      </c>
      <c r="F5" s="110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92" t="s">
        <v>19</v>
      </c>
      <c r="N5" s="92"/>
      <c r="O5" s="92"/>
      <c r="P5" s="92" t="s">
        <v>20</v>
      </c>
      <c r="Q5" s="92"/>
      <c r="R5" s="92"/>
      <c r="S5" s="92" t="s">
        <v>21</v>
      </c>
      <c r="T5" s="92"/>
      <c r="U5" s="92"/>
      <c r="V5" s="49"/>
      <c r="AJ5" s="65"/>
      <c r="AK5" s="65"/>
    </row>
    <row r="6" spans="1:39" ht="20.399999999999999" customHeight="1" thickTop="1" thickBot="1" x14ac:dyDescent="0.3">
      <c r="A6" s="24" t="s">
        <v>165</v>
      </c>
      <c r="B6" s="54" t="s">
        <v>389</v>
      </c>
      <c r="C6" s="24" t="s">
        <v>4</v>
      </c>
      <c r="D6" s="54" t="s">
        <v>390</v>
      </c>
      <c r="F6" s="111" t="s">
        <v>14</v>
      </c>
      <c r="G6" s="7" t="s">
        <v>34</v>
      </c>
      <c r="H6" s="7" t="s">
        <v>35</v>
      </c>
      <c r="I6" s="7" t="s">
        <v>201</v>
      </c>
      <c r="J6" s="7" t="s">
        <v>9</v>
      </c>
      <c r="K6" s="8" t="s">
        <v>10</v>
      </c>
      <c r="M6" s="36">
        <v>30</v>
      </c>
      <c r="N6" s="36" t="s">
        <v>18</v>
      </c>
      <c r="O6" s="36">
        <f ca="1">K13</f>
        <v>30</v>
      </c>
      <c r="P6" s="36">
        <v>0</v>
      </c>
      <c r="Q6" s="36" t="s">
        <v>18</v>
      </c>
      <c r="R6" s="36">
        <v>0</v>
      </c>
      <c r="S6" s="36">
        <f>M6+P6</f>
        <v>30</v>
      </c>
      <c r="T6" s="36" t="s">
        <v>18</v>
      </c>
      <c r="U6" s="36">
        <f ca="1">O6+R6</f>
        <v>30</v>
      </c>
      <c r="V6" s="48"/>
      <c r="AJ6" s="65"/>
      <c r="AK6" s="65"/>
    </row>
    <row r="7" spans="1:39" ht="20.399999999999999" customHeight="1" thickTop="1" thickBot="1" x14ac:dyDescent="0.3">
      <c r="A7" s="24" t="s">
        <v>3</v>
      </c>
      <c r="B7" s="99" t="s">
        <v>391</v>
      </c>
      <c r="C7" s="99"/>
      <c r="D7" s="99"/>
      <c r="F7" s="112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104" t="s">
        <v>203</v>
      </c>
      <c r="N7" s="105"/>
      <c r="O7" s="105"/>
      <c r="P7" s="105"/>
      <c r="Q7" s="105"/>
      <c r="R7" s="106"/>
      <c r="S7" s="106"/>
      <c r="T7" s="106"/>
      <c r="U7" s="106"/>
      <c r="V7" s="47"/>
      <c r="AJ7" s="65"/>
      <c r="AK7" s="65"/>
    </row>
    <row r="8" spans="1:39" ht="20.399999999999999" customHeight="1" thickTop="1" thickBot="1" x14ac:dyDescent="0.3">
      <c r="A8" s="24" t="s">
        <v>5</v>
      </c>
      <c r="B8" s="99" t="s">
        <v>392</v>
      </c>
      <c r="C8" s="99"/>
      <c r="D8" s="99"/>
      <c r="F8" s="79" t="s">
        <v>15</v>
      </c>
      <c r="G8" s="11" t="s">
        <v>34</v>
      </c>
      <c r="H8" s="11" t="s">
        <v>35</v>
      </c>
      <c r="I8" s="11" t="s">
        <v>201</v>
      </c>
      <c r="J8" s="11" t="s">
        <v>9</v>
      </c>
      <c r="K8" s="12" t="s">
        <v>10</v>
      </c>
      <c r="M8" s="92" t="s">
        <v>19</v>
      </c>
      <c r="N8" s="92"/>
      <c r="O8" s="92"/>
      <c r="P8" s="92" t="s">
        <v>204</v>
      </c>
      <c r="Q8" s="92"/>
      <c r="R8" s="92"/>
      <c r="S8" s="92" t="s">
        <v>21</v>
      </c>
      <c r="T8" s="92"/>
      <c r="U8" s="92"/>
      <c r="V8" s="49"/>
      <c r="X8" s="58" t="s">
        <v>340</v>
      </c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61"/>
    </row>
    <row r="9" spans="1:39" ht="20.399999999999999" customHeight="1" thickTop="1" thickBot="1" x14ac:dyDescent="0.3">
      <c r="A9" s="84" t="s">
        <v>33</v>
      </c>
      <c r="B9" s="87" t="s">
        <v>393</v>
      </c>
      <c r="C9" s="87"/>
      <c r="D9" s="87"/>
      <c r="F9" s="80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6">
        <v>6</v>
      </c>
      <c r="N9" s="36" t="s">
        <v>18</v>
      </c>
      <c r="O9" s="36">
        <v>6</v>
      </c>
      <c r="P9" s="36">
        <v>5</v>
      </c>
      <c r="Q9" s="36" t="s">
        <v>18</v>
      </c>
      <c r="R9" s="36">
        <f ca="1">INT(K5/10)</f>
        <v>5</v>
      </c>
      <c r="S9" s="36">
        <f>M9+P9</f>
        <v>11</v>
      </c>
      <c r="T9" s="36" t="s">
        <v>18</v>
      </c>
      <c r="U9" s="36">
        <f ca="1">O9+R9</f>
        <v>11</v>
      </c>
      <c r="V9" s="48"/>
      <c r="X9" s="58"/>
      <c r="Y9" s="59"/>
      <c r="Z9" s="60" t="s">
        <v>325</v>
      </c>
      <c r="AA9" s="59"/>
      <c r="AB9" s="60" t="s">
        <v>326</v>
      </c>
      <c r="AC9" s="59"/>
      <c r="AD9" s="60" t="s">
        <v>327</v>
      </c>
      <c r="AE9" s="59"/>
      <c r="AF9" s="60" t="s">
        <v>328</v>
      </c>
      <c r="AG9" s="59"/>
      <c r="AH9" s="60" t="s">
        <v>336</v>
      </c>
      <c r="AI9" s="61"/>
    </row>
    <row r="10" spans="1:39" ht="20.399999999999999" customHeight="1" thickTop="1" thickBot="1" x14ac:dyDescent="0.3">
      <c r="A10" s="85"/>
      <c r="B10" s="88"/>
      <c r="C10" s="88"/>
      <c r="D10" s="88"/>
      <c r="F10" s="76" t="s">
        <v>16</v>
      </c>
      <c r="G10" s="17" t="s">
        <v>34</v>
      </c>
      <c r="H10" s="17" t="s">
        <v>35</v>
      </c>
      <c r="I10" s="17" t="s">
        <v>201</v>
      </c>
      <c r="J10" s="17" t="s">
        <v>9</v>
      </c>
      <c r="K10" s="18" t="s">
        <v>10</v>
      </c>
      <c r="X10" s="58" t="s">
        <v>329</v>
      </c>
      <c r="Y10" s="59"/>
      <c r="Z10" s="60">
        <v>0</v>
      </c>
      <c r="AA10" s="59"/>
      <c r="AB10" s="60">
        <v>0</v>
      </c>
      <c r="AC10" s="59"/>
      <c r="AD10" s="60">
        <v>0</v>
      </c>
      <c r="AE10" s="59"/>
      <c r="AF10" s="60">
        <v>0</v>
      </c>
      <c r="AG10" s="59"/>
      <c r="AH10" s="60" t="s">
        <v>178</v>
      </c>
      <c r="AI10" s="61"/>
    </row>
    <row r="11" spans="1:39" ht="20.399999999999999" customHeight="1" thickTop="1" thickBot="1" x14ac:dyDescent="0.4">
      <c r="A11" s="85"/>
      <c r="B11" s="88"/>
      <c r="C11" s="88"/>
      <c r="D11" s="88"/>
      <c r="F11" s="77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93" t="s">
        <v>205</v>
      </c>
      <c r="N11" s="93"/>
      <c r="O11" s="93"/>
      <c r="P11" s="93"/>
      <c r="Q11" s="93"/>
      <c r="R11" s="93"/>
      <c r="S11" s="93"/>
      <c r="T11" s="93"/>
      <c r="U11" s="93"/>
      <c r="V11" s="45"/>
      <c r="W11" s="96" t="s">
        <v>167</v>
      </c>
      <c r="X11" s="58" t="s">
        <v>225</v>
      </c>
      <c r="Y11" s="59"/>
      <c r="Z11" s="60"/>
      <c r="AA11" s="59"/>
      <c r="AB11" s="60"/>
      <c r="AC11" s="59"/>
      <c r="AD11" s="60"/>
      <c r="AE11" s="59"/>
      <c r="AF11" s="60"/>
      <c r="AG11" s="59"/>
      <c r="AH11" s="60"/>
      <c r="AI11" s="61"/>
    </row>
    <row r="12" spans="1:39" ht="20.399999999999999" customHeight="1" thickTop="1" thickBot="1" x14ac:dyDescent="0.3">
      <c r="A12" s="86"/>
      <c r="B12" s="89"/>
      <c r="C12" s="89"/>
      <c r="D12" s="89"/>
      <c r="F12" s="78" t="s">
        <v>17</v>
      </c>
      <c r="G12" s="15" t="s">
        <v>64</v>
      </c>
      <c r="H12" s="15" t="s">
        <v>35</v>
      </c>
      <c r="I12" s="15" t="s">
        <v>201</v>
      </c>
      <c r="J12" s="15" t="s">
        <v>9</v>
      </c>
      <c r="K12" s="16" t="s">
        <v>10</v>
      </c>
      <c r="M12" s="94" t="s">
        <v>206</v>
      </c>
      <c r="N12" s="94"/>
      <c r="O12" s="94"/>
      <c r="P12" s="95" t="s">
        <v>355</v>
      </c>
      <c r="Q12" s="95"/>
      <c r="R12" s="95"/>
      <c r="S12" s="94" t="s">
        <v>23</v>
      </c>
      <c r="T12" s="94"/>
      <c r="U12" s="38" cm="1">
        <f t="array" aca="1" ref="U12" ca="1">IF(P12=INDIRECT("武器"&amp;"!G3"),INDIRECT("武器"&amp;"!G5"),INDIRECT("武器"&amp;"!G12"))</f>
        <v>8</v>
      </c>
      <c r="V12" s="50"/>
      <c r="W12" s="97"/>
      <c r="X12" s="58" t="s">
        <v>226</v>
      </c>
      <c r="Y12" s="59"/>
      <c r="Z12" s="60"/>
      <c r="AA12" s="59"/>
      <c r="AB12" s="60"/>
      <c r="AC12" s="59"/>
      <c r="AD12" s="60"/>
      <c r="AE12" s="59"/>
      <c r="AF12" s="60"/>
      <c r="AG12" s="59"/>
      <c r="AH12" s="60"/>
      <c r="AI12" s="61"/>
    </row>
    <row r="13" spans="1:39" ht="20.399999999999999" customHeight="1" thickTop="1" thickBot="1" x14ac:dyDescent="0.4">
      <c r="A13" s="83" t="s">
        <v>213</v>
      </c>
      <c r="B13" s="83"/>
      <c r="C13" s="83"/>
      <c r="D13" s="83"/>
      <c r="F13" s="78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94" t="s">
        <v>209</v>
      </c>
      <c r="N13" s="94"/>
      <c r="O13" s="94"/>
      <c r="P13" s="94" t="s">
        <v>210</v>
      </c>
      <c r="Q13" s="94"/>
      <c r="R13" s="94"/>
      <c r="S13" s="94" t="s">
        <v>211</v>
      </c>
      <c r="T13" s="94"/>
      <c r="U13" s="94"/>
      <c r="V13" s="46"/>
      <c r="W13" s="97"/>
      <c r="X13" s="58" t="s">
        <v>331</v>
      </c>
      <c r="Y13" s="59"/>
      <c r="Z13" s="60">
        <v>15</v>
      </c>
      <c r="AA13" s="59"/>
      <c r="AB13" s="60">
        <v>1</v>
      </c>
      <c r="AC13" s="59"/>
      <c r="AD13" s="60">
        <v>-15</v>
      </c>
      <c r="AE13" s="59"/>
      <c r="AF13" s="60">
        <v>0</v>
      </c>
      <c r="AG13" s="59"/>
      <c r="AH13" s="60" t="s">
        <v>178</v>
      </c>
      <c r="AI13" s="61"/>
    </row>
    <row r="14" spans="1:39" ht="20.399999999999999" customHeight="1" thickTop="1" thickBot="1" x14ac:dyDescent="0.3">
      <c r="A14" s="24" t="s">
        <v>214</v>
      </c>
      <c r="B14" s="24" t="s">
        <v>215</v>
      </c>
      <c r="C14" s="90" t="s">
        <v>216</v>
      </c>
      <c r="D14" s="90"/>
      <c r="M14" s="37" t="s">
        <v>207</v>
      </c>
      <c r="N14" s="75" t="str">
        <f ca="1">IF(P12=INDIRECT("武器"&amp;"!G3"),INDIRECT("武器"&amp;"!J3"),INDIRECT("武器"&amp;"!J10"))</f>
        <v>长柄刀</v>
      </c>
      <c r="O14" s="75"/>
      <c r="P14" s="37" t="s">
        <v>207</v>
      </c>
      <c r="Q14" s="75" t="s">
        <v>76</v>
      </c>
      <c r="R14" s="75"/>
      <c r="S14" s="37" t="s">
        <v>207</v>
      </c>
      <c r="T14" s="75" t="s">
        <v>81</v>
      </c>
      <c r="U14" s="75"/>
      <c r="V14" s="51"/>
      <c r="W14" s="97"/>
      <c r="X14" s="58" t="s">
        <v>332</v>
      </c>
      <c r="Y14" s="59"/>
      <c r="Z14" s="60"/>
      <c r="AA14" s="59"/>
      <c r="AB14" s="60"/>
      <c r="AC14" s="59"/>
      <c r="AD14" s="60"/>
      <c r="AE14" s="59"/>
      <c r="AF14" s="60"/>
      <c r="AG14" s="59"/>
      <c r="AH14" s="60"/>
      <c r="AI14" s="61"/>
    </row>
    <row r="15" spans="1:39" ht="20.399999999999999" customHeight="1" thickTop="1" thickBot="1" x14ac:dyDescent="0.4">
      <c r="A15" s="54" t="s">
        <v>75</v>
      </c>
      <c r="B15" s="54" t="s">
        <v>88</v>
      </c>
      <c r="C15" s="91">
        <f ca="1">VLOOKUP(B15,INDIRECT("各种技能"&amp;"!A5:G32"),7,FALSE)</f>
        <v>64</v>
      </c>
      <c r="D15" s="91"/>
      <c r="F15" s="83" t="s">
        <v>219</v>
      </c>
      <c r="G15" s="83"/>
      <c r="H15" s="83"/>
      <c r="I15" s="83"/>
      <c r="J15" s="83"/>
      <c r="K15" s="83"/>
      <c r="M15" s="39" t="s">
        <v>73</v>
      </c>
      <c r="N15" s="74">
        <f ca="1">VLOOKUP(N14,INDIRECT("各种技能"&amp;"!L5:R32"),7,FALSE)</f>
        <v>50.7</v>
      </c>
      <c r="O15" s="74"/>
      <c r="P15" s="39" t="s">
        <v>73</v>
      </c>
      <c r="Q15" s="74">
        <f ca="1">VLOOKUP(Q14,INDIRECT("各种技能"&amp;"!A5:J32"),7,FALSE)</f>
        <v>50.7</v>
      </c>
      <c r="R15" s="74"/>
      <c r="S15" s="39" t="s">
        <v>73</v>
      </c>
      <c r="T15" s="74">
        <f ca="1">VLOOKUP(T14,INDIRECT("各种技能"&amp;"!A5:J32"),7,FALSE)</f>
        <v>50.7</v>
      </c>
      <c r="U15" s="74"/>
      <c r="V15" s="52"/>
      <c r="W15" s="97"/>
      <c r="X15" s="58" t="s">
        <v>228</v>
      </c>
      <c r="Y15" s="59"/>
      <c r="Z15" s="60"/>
      <c r="AA15" s="59"/>
      <c r="AB15" s="60"/>
      <c r="AC15" s="59"/>
      <c r="AD15" s="60"/>
      <c r="AE15" s="59"/>
      <c r="AF15" s="60"/>
      <c r="AG15" s="59"/>
      <c r="AH15" s="60"/>
      <c r="AI15" s="61"/>
    </row>
    <row r="16" spans="1:39" ht="20.399999999999999" customHeight="1" thickTop="1" thickBot="1" x14ac:dyDescent="0.3">
      <c r="A16" s="54" t="s">
        <v>217</v>
      </c>
      <c r="B16" s="54" t="s">
        <v>184</v>
      </c>
      <c r="C16" s="91">
        <f ca="1">VLOOKUP(B16,INDIRECT("各种技能"&amp;"!L5:R32"),7,FALSE)</f>
        <v>50.7</v>
      </c>
      <c r="D16" s="91"/>
      <c r="F16" s="40" t="s">
        <v>220</v>
      </c>
      <c r="G16" s="40" t="s">
        <v>221</v>
      </c>
      <c r="H16" s="40" t="s">
        <v>152</v>
      </c>
      <c r="I16" s="40" t="s">
        <v>222</v>
      </c>
      <c r="J16" s="40" t="s">
        <v>18</v>
      </c>
      <c r="K16" s="40" t="s">
        <v>223</v>
      </c>
      <c r="M16" s="53" t="s">
        <v>208</v>
      </c>
      <c r="N16" s="75"/>
      <c r="O16" s="75"/>
      <c r="P16" s="53" t="s">
        <v>208</v>
      </c>
      <c r="Q16" s="75"/>
      <c r="R16" s="75"/>
      <c r="S16" s="53" t="s">
        <v>208</v>
      </c>
      <c r="T16" s="75"/>
      <c r="U16" s="75"/>
      <c r="V16" s="51"/>
      <c r="W16" s="97"/>
      <c r="X16" s="58" t="s">
        <v>330</v>
      </c>
      <c r="Y16" s="59"/>
      <c r="Z16" s="60">
        <v>15</v>
      </c>
      <c r="AA16" s="59"/>
      <c r="AB16" s="60">
        <v>1</v>
      </c>
      <c r="AC16" s="59"/>
      <c r="AD16" s="60">
        <v>-15</v>
      </c>
      <c r="AE16" s="59"/>
      <c r="AF16" s="60">
        <v>0.5</v>
      </c>
      <c r="AG16" s="59"/>
      <c r="AH16" s="60" t="s">
        <v>178</v>
      </c>
      <c r="AI16" s="61"/>
    </row>
    <row r="17" spans="1:35" ht="20.399999999999999" customHeight="1" thickTop="1" thickBot="1" x14ac:dyDescent="0.3">
      <c r="F17" s="41" t="s">
        <v>26</v>
      </c>
      <c r="G17" s="41" cm="1">
        <f t="array" aca="1" ref="G17" ca="1">INDIRECT("防具"&amp;"!E4")</f>
        <v>1</v>
      </c>
      <c r="H17" s="42" cm="1">
        <f t="array" aca="1" ref="H17" ca="1">INDIRECT("防具"&amp;"!F4")</f>
        <v>0.2</v>
      </c>
      <c r="I17" s="41">
        <v>5</v>
      </c>
      <c r="J17" s="40" t="s">
        <v>18</v>
      </c>
      <c r="K17" s="41" cm="1">
        <f t="array" aca="1" ref="K17" ca="1">INDIRECT("防具"&amp;"!G4")</f>
        <v>5</v>
      </c>
      <c r="M17" s="39" t="s">
        <v>212</v>
      </c>
      <c r="N17" s="74" cm="1">
        <f t="array" aca="1" ref="N17" ca="1">IF(P12=INDIRECT("武器"&amp;"!G3"),INDIRECT("武器"&amp;"!J5"),INDIRECT("武器"&amp;"!J12"))</f>
        <v>16</v>
      </c>
      <c r="O17" s="74"/>
      <c r="P17" s="39" t="s">
        <v>212</v>
      </c>
      <c r="Q17" s="74" cm="1">
        <f t="array" aca="1" ref="Q17" ca="1">INDIRECT("防具"&amp;"!U1")</f>
        <v>8</v>
      </c>
      <c r="R17" s="74"/>
      <c r="S17" s="39" t="s">
        <v>212</v>
      </c>
      <c r="T17" s="74" cm="1">
        <f t="array" aca="1" ref="T17" ca="1">INDIRECT("防具"&amp;"!U1")</f>
        <v>8</v>
      </c>
      <c r="U17" s="74"/>
      <c r="V17" s="52"/>
      <c r="W17" s="97"/>
      <c r="X17" s="58" t="s">
        <v>358</v>
      </c>
      <c r="Y17" s="59"/>
      <c r="Z17" s="60"/>
      <c r="AA17" s="59"/>
      <c r="AB17" s="60"/>
      <c r="AC17" s="59"/>
      <c r="AD17" s="60"/>
      <c r="AE17" s="59"/>
      <c r="AF17" s="60"/>
      <c r="AG17" s="59"/>
      <c r="AH17" s="60"/>
      <c r="AI17" s="61"/>
    </row>
    <row r="18" spans="1:35" ht="20.399999999999999" customHeight="1" thickTop="1" thickBot="1" x14ac:dyDescent="0.3">
      <c r="F18" s="41" t="s">
        <v>27</v>
      </c>
      <c r="G18" s="41" cm="1">
        <f t="array" aca="1" ref="G18" ca="1">INDIRECT("防具"&amp;"!E8")</f>
        <v>2</v>
      </c>
      <c r="H18" s="42" cm="1">
        <f t="array" aca="1" ref="H18" ca="1">INDIRECT("防具"&amp;"!F8")</f>
        <v>0.3</v>
      </c>
      <c r="I18" s="41">
        <v>8</v>
      </c>
      <c r="J18" s="40" t="s">
        <v>18</v>
      </c>
      <c r="K18" s="41" cm="1">
        <f t="array" aca="1" ref="K18" ca="1">INDIRECT("防具"&amp;"!G8")</f>
        <v>8</v>
      </c>
      <c r="M18" s="53" t="s">
        <v>208</v>
      </c>
      <c r="N18" s="75"/>
      <c r="O18" s="75"/>
      <c r="P18" s="53" t="s">
        <v>208</v>
      </c>
      <c r="Q18" s="75"/>
      <c r="R18" s="75"/>
      <c r="S18" s="53" t="s">
        <v>208</v>
      </c>
      <c r="T18" s="75"/>
      <c r="U18" s="75"/>
      <c r="V18" s="51"/>
      <c r="W18" s="97"/>
      <c r="X18" s="58" t="s">
        <v>359</v>
      </c>
      <c r="Y18" s="59"/>
      <c r="Z18" s="60"/>
      <c r="AA18" s="59"/>
      <c r="AB18" s="60"/>
      <c r="AC18" s="59"/>
      <c r="AD18" s="60"/>
      <c r="AE18" s="59"/>
      <c r="AF18" s="60"/>
      <c r="AG18" s="59"/>
      <c r="AH18" s="60"/>
      <c r="AI18" s="61"/>
    </row>
    <row r="19" spans="1:35" ht="20.399999999999999" customHeight="1" thickTop="1" thickBot="1" x14ac:dyDescent="0.3">
      <c r="F19" s="41" t="s">
        <v>28</v>
      </c>
      <c r="G19" s="41" cm="1">
        <f t="array" aca="1" ref="G19" ca="1">INDIRECT("防具"&amp;"!E12")</f>
        <v>3</v>
      </c>
      <c r="H19" s="42" cm="1">
        <f t="array" aca="1" ref="H19" ca="1">INDIRECT("防具"&amp;"!F12")</f>
        <v>0.4</v>
      </c>
      <c r="I19" s="41">
        <v>10</v>
      </c>
      <c r="J19" s="40" t="s">
        <v>18</v>
      </c>
      <c r="K19" s="41" cm="1">
        <f t="array" aca="1" ref="K19" ca="1">INDIRECT("防具"&amp;"!G12")</f>
        <v>10</v>
      </c>
      <c r="M19" s="53" t="s">
        <v>367</v>
      </c>
      <c r="N19" s="74">
        <v>0</v>
      </c>
      <c r="O19" s="74"/>
      <c r="P19" s="53" t="s">
        <v>367</v>
      </c>
      <c r="Q19" s="74">
        <v>0</v>
      </c>
      <c r="R19" s="74"/>
      <c r="S19" s="53" t="s">
        <v>367</v>
      </c>
      <c r="T19" s="74">
        <v>0</v>
      </c>
      <c r="U19" s="74"/>
      <c r="V19" s="52"/>
      <c r="W19" s="98"/>
      <c r="X19" s="58" t="s">
        <v>360</v>
      </c>
      <c r="Y19" s="59"/>
      <c r="Z19" s="60"/>
      <c r="AA19" s="59"/>
      <c r="AB19" s="60"/>
      <c r="AC19" s="59"/>
      <c r="AD19" s="60"/>
      <c r="AE19" s="59"/>
      <c r="AF19" s="60"/>
      <c r="AG19" s="59"/>
      <c r="AH19" s="60"/>
      <c r="AI19" s="61"/>
    </row>
    <row r="20" spans="1:35" ht="20.399999999999999" customHeight="1" thickTop="1" thickBot="1" x14ac:dyDescent="0.3">
      <c r="F20" s="41" t="s">
        <v>29</v>
      </c>
      <c r="G20" s="41" cm="1">
        <f t="array" aca="1" ref="G20" ca="1">INDIRECT("防具"&amp;"!E16")</f>
        <v>2</v>
      </c>
      <c r="H20" s="42" cm="1">
        <f t="array" aca="1" ref="H20" ca="1">INDIRECT("防具"&amp;"!F16")</f>
        <v>0.3</v>
      </c>
      <c r="I20" s="41">
        <v>8</v>
      </c>
      <c r="J20" s="40" t="s">
        <v>18</v>
      </c>
      <c r="K20" s="41" cm="1">
        <f t="array" aca="1" ref="K20" ca="1">INDIRECT("防具"&amp;"!G16")</f>
        <v>8</v>
      </c>
      <c r="M20" s="53" t="s">
        <v>368</v>
      </c>
      <c r="N20" s="74">
        <f ca="1">IF(N18=0,N17*N19,N19*N18)</f>
        <v>0</v>
      </c>
      <c r="O20" s="74"/>
      <c r="P20" s="53" t="s">
        <v>368</v>
      </c>
      <c r="Q20" s="74">
        <f ca="1">IF(Q18=0,Q17*Q19,Q18*Q19)</f>
        <v>0</v>
      </c>
      <c r="R20" s="74"/>
      <c r="S20" s="53" t="s">
        <v>368</v>
      </c>
      <c r="T20" s="74">
        <f ca="1">IF(T18=0,T17*T19,T18*T19)</f>
        <v>0</v>
      </c>
      <c r="U20" s="74"/>
      <c r="V20" s="52"/>
    </row>
    <row r="21" spans="1:35" ht="20.399999999999999" customHeight="1" thickTop="1" thickBot="1" x14ac:dyDescent="0.3">
      <c r="F21" s="81" t="s">
        <v>382</v>
      </c>
      <c r="G21" s="81"/>
      <c r="H21" s="81"/>
      <c r="I21" s="81"/>
      <c r="J21" s="82" t="s">
        <v>179</v>
      </c>
      <c r="K21" s="82"/>
      <c r="M21" s="53" t="s">
        <v>369</v>
      </c>
      <c r="N21" s="74"/>
      <c r="O21" s="74"/>
      <c r="P21" s="53" t="s">
        <v>369</v>
      </c>
      <c r="Q21" s="74"/>
      <c r="R21" s="74"/>
      <c r="S21" s="53" t="s">
        <v>369</v>
      </c>
      <c r="T21" s="74"/>
      <c r="U21" s="74"/>
      <c r="V21" s="52"/>
    </row>
    <row r="22" spans="1:35" ht="20.399999999999999" customHeight="1" thickTop="1" thickBot="1" x14ac:dyDescent="0.3">
      <c r="F22" s="41" t="s">
        <v>383</v>
      </c>
      <c r="G22" s="41" cm="1">
        <f t="array" aca="1" ref="G22" ca="1">INDIRECT("坐骑"&amp;"!N4")</f>
        <v>2</v>
      </c>
      <c r="H22" s="42" cm="1">
        <f t="array" aca="1" ref="H22" ca="1">INDIRECT("坐骑"&amp;"!O4")</f>
        <v>0.3</v>
      </c>
      <c r="I22" s="41">
        <v>8</v>
      </c>
      <c r="J22" s="41" t="s">
        <v>18</v>
      </c>
      <c r="K22" s="41" cm="1">
        <f t="array" aca="1" ref="K22" ca="1">INDIRECT("坐骑"&amp;"!S13")</f>
        <v>8</v>
      </c>
      <c r="M22" s="53" t="s">
        <v>370</v>
      </c>
      <c r="N22" s="74">
        <f ca="1">SUM(N20,N21)</f>
        <v>0</v>
      </c>
      <c r="O22" s="74"/>
      <c r="P22" s="53" t="s">
        <v>370</v>
      </c>
      <c r="Q22" s="74">
        <f ca="1">SUM(Q20,Q21)</f>
        <v>0</v>
      </c>
      <c r="R22" s="74"/>
      <c r="S22" s="53" t="s">
        <v>370</v>
      </c>
      <c r="T22" s="74">
        <f ca="1">SUM(T20,T21)</f>
        <v>0</v>
      </c>
      <c r="U22" s="74"/>
      <c r="V22" s="52"/>
    </row>
    <row r="23" spans="1:35" ht="20.399999999999999" customHeight="1" thickTop="1" thickBot="1" x14ac:dyDescent="0.3">
      <c r="M23" s="53" t="s">
        <v>371</v>
      </c>
      <c r="N23" s="74">
        <f ca="1">IF(IF(N16=0,N15-N22,N16-N22)&lt;$K$3/2,$K$3/2,IF(N16=0,N15-N22,N16-N22))</f>
        <v>50.7</v>
      </c>
      <c r="O23" s="74"/>
      <c r="P23" s="53" t="s">
        <v>371</v>
      </c>
      <c r="Q23" s="74">
        <f ca="1">IF(IF(Q16=0,Q15-Q22,Q16-Q22)&lt;$K$3/2,$K$3/2,IF(Q16=0,Q15-Q22,Q16-Q22))</f>
        <v>50.7</v>
      </c>
      <c r="R23" s="74"/>
      <c r="S23" s="53" t="s">
        <v>371</v>
      </c>
      <c r="T23" s="74">
        <f ca="1">IF(IF(T16=0,T15-T22,T16-T22)&lt;$K$5/2,$K$5/2,IF(T16=0,T15-T22,T16-T22))</f>
        <v>50.7</v>
      </c>
      <c r="U23" s="74"/>
      <c r="V23" s="52"/>
    </row>
    <row r="24" spans="1:35" ht="20.399999999999999" customHeight="1" thickTop="1" x14ac:dyDescent="0.25">
      <c r="V24" s="52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126</v>
      </c>
      <c r="G29" t="s">
        <v>148</v>
      </c>
      <c r="H29" t="s">
        <v>270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180</v>
      </c>
      <c r="F30" t="s">
        <v>273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272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271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148</v>
      </c>
      <c r="H35" t="s">
        <v>270</v>
      </c>
    </row>
    <row r="36" spans="1:8" ht="20.399999999999999" customHeight="1" x14ac:dyDescent="0.25">
      <c r="A36" t="s">
        <v>232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237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238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239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B19:B20" name="查询区域_1_2"/>
    <protectedRange sqref="D4:D6 B2:B9" name="角色基础信息区域_2"/>
    <protectedRange sqref="B15:B16" name="查询区域_1"/>
  </protectedRanges>
  <sortState xmlns:xlrd2="http://schemas.microsoft.com/office/spreadsheetml/2017/richdata2" ref="A29:B34">
    <sortCondition ref="A29:A34"/>
  </sortState>
  <mergeCells count="164"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N23:O23"/>
    <mergeCell ref="Q20:R20"/>
    <mergeCell ref="Q21:R21"/>
    <mergeCell ref="Q22:R22"/>
    <mergeCell ref="Q23:R23"/>
    <mergeCell ref="T20:U20"/>
    <mergeCell ref="T21:U21"/>
    <mergeCell ref="T22:U22"/>
    <mergeCell ref="T23:U23"/>
    <mergeCell ref="Z18:AA18"/>
    <mergeCell ref="Z19:AA19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AD18:AE18"/>
    <mergeCell ref="AD19:AE19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X18:Y18"/>
    <mergeCell ref="AH13:AI13"/>
    <mergeCell ref="AH14:AI14"/>
    <mergeCell ref="AJ1:AK1"/>
    <mergeCell ref="Z1:AA1"/>
    <mergeCell ref="AB1:AC1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N3" sqref="N3:W30"/>
    </sheetView>
  </sheetViews>
  <sheetFormatPr defaultRowHeight="20.399999999999999" customHeight="1" x14ac:dyDescent="0.25"/>
  <sheetData>
    <row r="1" spans="1:23" ht="20.399999999999999" customHeight="1" x14ac:dyDescent="0.25">
      <c r="A1" s="118" t="s">
        <v>195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N1" s="119" t="s">
        <v>150</v>
      </c>
      <c r="O1" s="119"/>
      <c r="P1" s="119"/>
      <c r="Q1" s="119"/>
      <c r="R1" s="119"/>
      <c r="S1" s="119"/>
      <c r="T1" s="119"/>
      <c r="U1" s="119"/>
      <c r="V1" s="119"/>
      <c r="W1" s="119"/>
    </row>
    <row r="2" spans="1:23" ht="20.399999999999999" customHeight="1" thickBot="1" x14ac:dyDescent="0.3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N2" s="119"/>
      <c r="O2" s="119"/>
      <c r="P2" s="119"/>
      <c r="Q2" s="119"/>
      <c r="R2" s="119"/>
      <c r="S2" s="119"/>
      <c r="T2" s="119"/>
      <c r="U2" s="119"/>
      <c r="V2" s="119"/>
      <c r="W2" s="119"/>
    </row>
    <row r="3" spans="1:23" ht="20.399999999999999" customHeight="1" thickTop="1" x14ac:dyDescent="0.25">
      <c r="A3" s="115" t="s">
        <v>363</v>
      </c>
      <c r="B3" s="115"/>
      <c r="C3" s="115"/>
      <c r="D3" s="115"/>
      <c r="E3" s="115">
        <f>SUMIF(E9:H591,"&gt;=0",E9:H591)</f>
        <v>15</v>
      </c>
      <c r="F3" s="115"/>
      <c r="G3" s="115"/>
      <c r="H3" s="115"/>
      <c r="I3" s="115"/>
      <c r="J3" s="115"/>
      <c r="K3" s="115"/>
      <c r="L3" s="115"/>
      <c r="N3" s="117" t="s">
        <v>200</v>
      </c>
      <c r="O3" s="117"/>
      <c r="P3" s="117"/>
      <c r="Q3" s="117"/>
      <c r="R3" s="117"/>
      <c r="S3" s="117"/>
      <c r="T3" s="117"/>
      <c r="U3" s="117"/>
      <c r="V3" s="117"/>
      <c r="W3" s="117"/>
    </row>
    <row r="4" spans="1:23" ht="20.399999999999999" customHeight="1" thickBot="1" x14ac:dyDescent="0.3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N4" s="117"/>
      <c r="O4" s="117"/>
      <c r="P4" s="117"/>
      <c r="Q4" s="117"/>
      <c r="R4" s="117"/>
      <c r="S4" s="117"/>
      <c r="T4" s="117"/>
      <c r="U4" s="117"/>
      <c r="V4" s="117"/>
      <c r="W4" s="117"/>
    </row>
    <row r="5" spans="1:23" ht="20.399999999999999" customHeight="1" thickTop="1" x14ac:dyDescent="0.25">
      <c r="A5" s="115" t="s">
        <v>373</v>
      </c>
      <c r="B5" s="115"/>
      <c r="C5" s="115"/>
      <c r="D5" s="115">
        <f>E3-J5</f>
        <v>15</v>
      </c>
      <c r="E5" s="115"/>
      <c r="F5" s="115"/>
      <c r="G5" s="115" t="s">
        <v>372</v>
      </c>
      <c r="H5" s="115"/>
      <c r="I5" s="115"/>
      <c r="J5" s="115">
        <f>E11</f>
        <v>0</v>
      </c>
      <c r="K5" s="115"/>
      <c r="L5" s="115"/>
      <c r="N5" s="117"/>
      <c r="O5" s="117"/>
      <c r="P5" s="117"/>
      <c r="Q5" s="117"/>
      <c r="R5" s="117"/>
      <c r="S5" s="117"/>
      <c r="T5" s="117"/>
      <c r="U5" s="117"/>
      <c r="V5" s="117"/>
      <c r="W5" s="117"/>
    </row>
    <row r="6" spans="1:23" ht="20.399999999999999" customHeight="1" thickBot="1" x14ac:dyDescent="0.3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N6" s="117"/>
      <c r="O6" s="117"/>
      <c r="P6" s="117"/>
      <c r="Q6" s="117"/>
      <c r="R6" s="117"/>
      <c r="S6" s="117"/>
      <c r="T6" s="117"/>
      <c r="U6" s="117"/>
      <c r="V6" s="117"/>
      <c r="W6" s="117"/>
    </row>
    <row r="7" spans="1:23" ht="20.399999999999999" customHeight="1" thickTop="1" x14ac:dyDescent="0.25">
      <c r="A7" s="115" t="s">
        <v>198</v>
      </c>
      <c r="B7" s="115"/>
      <c r="C7" s="115"/>
      <c r="D7" s="115"/>
      <c r="E7" s="115" t="s">
        <v>196</v>
      </c>
      <c r="F7" s="115"/>
      <c r="G7" s="115"/>
      <c r="H7" s="115"/>
      <c r="I7" s="115" t="s">
        <v>197</v>
      </c>
      <c r="J7" s="115"/>
      <c r="K7" s="115"/>
      <c r="L7" s="115"/>
      <c r="N7" s="117"/>
      <c r="O7" s="117"/>
      <c r="P7" s="117"/>
      <c r="Q7" s="117"/>
      <c r="R7" s="117"/>
      <c r="S7" s="117"/>
      <c r="T7" s="117"/>
      <c r="U7" s="117"/>
      <c r="V7" s="117"/>
      <c r="W7" s="117"/>
    </row>
    <row r="8" spans="1:23" ht="20.399999999999999" customHeight="1" thickBot="1" x14ac:dyDescent="0.3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N8" s="117"/>
      <c r="O8" s="117"/>
      <c r="P8" s="117"/>
      <c r="Q8" s="117"/>
      <c r="R8" s="117"/>
      <c r="S8" s="117"/>
      <c r="T8" s="117"/>
      <c r="U8" s="117"/>
      <c r="V8" s="117"/>
      <c r="W8" s="117"/>
    </row>
    <row r="9" spans="1:23" ht="20.399999999999999" customHeight="1" thickTop="1" x14ac:dyDescent="0.25">
      <c r="A9" s="113" t="s">
        <v>199</v>
      </c>
      <c r="B9" s="113"/>
      <c r="C9" s="113"/>
      <c r="D9" s="113"/>
      <c r="E9" s="113">
        <v>15</v>
      </c>
      <c r="F9" s="113"/>
      <c r="G9" s="113"/>
      <c r="H9" s="113"/>
      <c r="I9" s="113">
        <f>E9</f>
        <v>15</v>
      </c>
      <c r="J9" s="113"/>
      <c r="K9" s="113"/>
      <c r="L9" s="113"/>
      <c r="N9" s="117"/>
      <c r="O9" s="117"/>
      <c r="P9" s="117"/>
      <c r="Q9" s="117"/>
      <c r="R9" s="117"/>
      <c r="S9" s="117"/>
      <c r="T9" s="117"/>
      <c r="U9" s="117"/>
      <c r="V9" s="117"/>
      <c r="W9" s="117"/>
    </row>
    <row r="10" spans="1:23" ht="20.399999999999999" customHeight="1" thickBot="1" x14ac:dyDescent="0.3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N10" s="117"/>
      <c r="O10" s="117"/>
      <c r="P10" s="117"/>
      <c r="Q10" s="117"/>
      <c r="R10" s="117"/>
      <c r="S10" s="117"/>
      <c r="T10" s="117"/>
      <c r="U10" s="117"/>
      <c r="V10" s="117"/>
      <c r="W10" s="117"/>
    </row>
    <row r="11" spans="1:23" ht="20.399999999999999" customHeight="1" thickTop="1" x14ac:dyDescent="0.25">
      <c r="A11" s="113" t="s">
        <v>397</v>
      </c>
      <c r="B11" s="113"/>
      <c r="C11" s="113"/>
      <c r="D11" s="113"/>
      <c r="E11" s="113">
        <v>0</v>
      </c>
      <c r="F11" s="113"/>
      <c r="G11" s="113"/>
      <c r="H11" s="113"/>
      <c r="I11" s="113">
        <f>E11+I9</f>
        <v>15</v>
      </c>
      <c r="J11" s="113"/>
      <c r="K11" s="113"/>
      <c r="L11" s="113"/>
      <c r="N11" s="117"/>
      <c r="O11" s="117"/>
      <c r="P11" s="117"/>
      <c r="Q11" s="117"/>
      <c r="R11" s="117"/>
      <c r="S11" s="117"/>
      <c r="T11" s="117"/>
      <c r="U11" s="117"/>
      <c r="V11" s="117"/>
      <c r="W11" s="117"/>
    </row>
    <row r="12" spans="1:23" ht="20.399999999999999" customHeight="1" thickBot="1" x14ac:dyDescent="0.3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N12" s="117"/>
      <c r="O12" s="117"/>
      <c r="P12" s="117"/>
      <c r="Q12" s="117"/>
      <c r="R12" s="117"/>
      <c r="S12" s="117"/>
      <c r="T12" s="117"/>
      <c r="U12" s="117"/>
      <c r="V12" s="117"/>
      <c r="W12" s="117"/>
    </row>
    <row r="13" spans="1:23" ht="20.399999999999999" customHeight="1" thickTop="1" x14ac:dyDescent="0.25">
      <c r="A13" s="113" t="s">
        <v>309</v>
      </c>
      <c r="B13" s="113"/>
      <c r="C13" s="113"/>
      <c r="D13" s="113"/>
      <c r="E13" s="113">
        <v>0</v>
      </c>
      <c r="F13" s="113"/>
      <c r="G13" s="113"/>
      <c r="H13" s="113"/>
      <c r="I13" s="113">
        <f t="shared" ref="I13" si="0">E13+I11</f>
        <v>15</v>
      </c>
      <c r="J13" s="113"/>
      <c r="K13" s="113"/>
      <c r="L13" s="113"/>
      <c r="N13" s="117"/>
      <c r="O13" s="117"/>
      <c r="P13" s="117"/>
      <c r="Q13" s="117"/>
      <c r="R13" s="117"/>
      <c r="S13" s="117"/>
      <c r="T13" s="117"/>
      <c r="U13" s="117"/>
      <c r="V13" s="117"/>
      <c r="W13" s="117"/>
    </row>
    <row r="14" spans="1:23" ht="20.399999999999999" customHeight="1" thickBot="1" x14ac:dyDescent="0.3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N14" s="117"/>
      <c r="O14" s="117"/>
      <c r="P14" s="117"/>
      <c r="Q14" s="117"/>
      <c r="R14" s="117"/>
      <c r="S14" s="117"/>
      <c r="T14" s="117"/>
      <c r="U14" s="117"/>
      <c r="V14" s="117"/>
      <c r="W14" s="117"/>
    </row>
    <row r="15" spans="1:23" ht="20.399999999999999" customHeight="1" thickTop="1" x14ac:dyDescent="0.25">
      <c r="A15" s="113" t="s">
        <v>310</v>
      </c>
      <c r="B15" s="113"/>
      <c r="C15" s="113"/>
      <c r="D15" s="113"/>
      <c r="E15" s="113">
        <v>-4</v>
      </c>
      <c r="F15" s="113"/>
      <c r="G15" s="113"/>
      <c r="H15" s="113"/>
      <c r="I15" s="113">
        <f t="shared" ref="I15" si="1">E15+I13</f>
        <v>11</v>
      </c>
      <c r="J15" s="113"/>
      <c r="K15" s="113"/>
      <c r="L15" s="113"/>
      <c r="N15" s="117"/>
      <c r="O15" s="117"/>
      <c r="P15" s="117"/>
      <c r="Q15" s="117"/>
      <c r="R15" s="117"/>
      <c r="S15" s="117"/>
      <c r="T15" s="117"/>
      <c r="U15" s="117"/>
      <c r="V15" s="117"/>
      <c r="W15" s="117"/>
    </row>
    <row r="16" spans="1:23" ht="20.399999999999999" customHeight="1" thickBot="1" x14ac:dyDescent="0.3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N16" s="117"/>
      <c r="O16" s="117"/>
      <c r="P16" s="117"/>
      <c r="Q16" s="117"/>
      <c r="R16" s="117"/>
      <c r="S16" s="117"/>
      <c r="T16" s="117"/>
      <c r="U16" s="117"/>
      <c r="V16" s="117"/>
      <c r="W16" s="117"/>
    </row>
    <row r="17" spans="1:23" ht="20.399999999999999" customHeight="1" thickTop="1" x14ac:dyDescent="0.25">
      <c r="A17" s="113" t="s">
        <v>311</v>
      </c>
      <c r="B17" s="113"/>
      <c r="C17" s="113"/>
      <c r="D17" s="113"/>
      <c r="E17" s="113">
        <v>-5</v>
      </c>
      <c r="F17" s="113"/>
      <c r="G17" s="113"/>
      <c r="H17" s="113"/>
      <c r="I17" s="113">
        <f t="shared" ref="I17" si="2">E17+I15</f>
        <v>6</v>
      </c>
      <c r="J17" s="113"/>
      <c r="K17" s="113"/>
      <c r="L17" s="113"/>
      <c r="N17" s="117"/>
      <c r="O17" s="117"/>
      <c r="P17" s="117"/>
      <c r="Q17" s="117"/>
      <c r="R17" s="117"/>
      <c r="S17" s="117"/>
      <c r="T17" s="117"/>
      <c r="U17" s="117"/>
      <c r="V17" s="117"/>
      <c r="W17" s="117"/>
    </row>
    <row r="18" spans="1:23" ht="20.399999999999999" customHeight="1" thickBot="1" x14ac:dyDescent="0.3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N18" s="117"/>
      <c r="O18" s="117"/>
      <c r="P18" s="117"/>
      <c r="Q18" s="117"/>
      <c r="R18" s="117"/>
      <c r="S18" s="117"/>
      <c r="T18" s="117"/>
      <c r="U18" s="117"/>
      <c r="V18" s="117"/>
      <c r="W18" s="117"/>
    </row>
    <row r="19" spans="1:23" ht="20.399999999999999" customHeight="1" thickTop="1" x14ac:dyDescent="0.25">
      <c r="A19" s="113" t="s">
        <v>312</v>
      </c>
      <c r="B19" s="113"/>
      <c r="C19" s="113"/>
      <c r="D19" s="113"/>
      <c r="E19" s="113">
        <v>-4</v>
      </c>
      <c r="F19" s="113"/>
      <c r="G19" s="113"/>
      <c r="H19" s="113"/>
      <c r="I19" s="113">
        <f t="shared" ref="I19" si="3">E19+I17</f>
        <v>2</v>
      </c>
      <c r="J19" s="113"/>
      <c r="K19" s="113"/>
      <c r="L19" s="113"/>
      <c r="N19" s="117"/>
      <c r="O19" s="117"/>
      <c r="P19" s="117"/>
      <c r="Q19" s="117"/>
      <c r="R19" s="117"/>
      <c r="S19" s="117"/>
      <c r="T19" s="117"/>
      <c r="U19" s="117"/>
      <c r="V19" s="117"/>
      <c r="W19" s="117"/>
    </row>
    <row r="20" spans="1:23" ht="20.399999999999999" customHeight="1" thickBot="1" x14ac:dyDescent="0.3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N20" s="117"/>
      <c r="O20" s="117"/>
      <c r="P20" s="117"/>
      <c r="Q20" s="117"/>
      <c r="R20" s="117"/>
      <c r="S20" s="117"/>
      <c r="T20" s="117"/>
      <c r="U20" s="117"/>
      <c r="V20" s="117"/>
      <c r="W20" s="117"/>
    </row>
    <row r="21" spans="1:23" ht="20.399999999999999" customHeight="1" thickTop="1" x14ac:dyDescent="0.25">
      <c r="A21" s="113"/>
      <c r="B21" s="113"/>
      <c r="C21" s="113"/>
      <c r="D21" s="113"/>
      <c r="E21" s="113"/>
      <c r="F21" s="113"/>
      <c r="G21" s="113"/>
      <c r="H21" s="113"/>
      <c r="I21" s="113">
        <f t="shared" ref="I21" si="4">E21+I19</f>
        <v>2</v>
      </c>
      <c r="J21" s="113"/>
      <c r="K21" s="113"/>
      <c r="L21" s="113"/>
      <c r="N21" s="117"/>
      <c r="O21" s="117"/>
      <c r="P21" s="117"/>
      <c r="Q21" s="117"/>
      <c r="R21" s="117"/>
      <c r="S21" s="117"/>
      <c r="T21" s="117"/>
      <c r="U21" s="117"/>
      <c r="V21" s="117"/>
      <c r="W21" s="117"/>
    </row>
    <row r="22" spans="1:23" ht="20.399999999999999" customHeight="1" thickBot="1" x14ac:dyDescent="0.3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N22" s="117"/>
      <c r="O22" s="117"/>
      <c r="P22" s="117"/>
      <c r="Q22" s="117"/>
      <c r="R22" s="117"/>
      <c r="S22" s="117"/>
      <c r="T22" s="117"/>
      <c r="U22" s="117"/>
      <c r="V22" s="117"/>
      <c r="W22" s="117"/>
    </row>
    <row r="23" spans="1:23" ht="20.399999999999999" customHeight="1" thickTop="1" x14ac:dyDescent="0.25">
      <c r="A23" s="113"/>
      <c r="B23" s="113"/>
      <c r="C23" s="113"/>
      <c r="D23" s="113"/>
      <c r="E23" s="113"/>
      <c r="F23" s="113"/>
      <c r="G23" s="113"/>
      <c r="H23" s="113"/>
      <c r="I23" s="113">
        <f t="shared" ref="I23" si="5">E23+I21</f>
        <v>2</v>
      </c>
      <c r="J23" s="113"/>
      <c r="K23" s="113"/>
      <c r="L23" s="113"/>
      <c r="N23" s="117"/>
      <c r="O23" s="117"/>
      <c r="P23" s="117"/>
      <c r="Q23" s="117"/>
      <c r="R23" s="117"/>
      <c r="S23" s="117"/>
      <c r="T23" s="117"/>
      <c r="U23" s="117"/>
      <c r="V23" s="117"/>
      <c r="W23" s="117"/>
    </row>
    <row r="24" spans="1:23" ht="20.399999999999999" customHeight="1" thickBot="1" x14ac:dyDescent="0.3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N24" s="117"/>
      <c r="O24" s="117"/>
      <c r="P24" s="117"/>
      <c r="Q24" s="117"/>
      <c r="R24" s="117"/>
      <c r="S24" s="117"/>
      <c r="T24" s="117"/>
      <c r="U24" s="117"/>
      <c r="V24" s="117"/>
      <c r="W24" s="117"/>
    </row>
    <row r="25" spans="1:23" ht="20.399999999999999" customHeight="1" thickTop="1" x14ac:dyDescent="0.25">
      <c r="A25" s="113"/>
      <c r="B25" s="113"/>
      <c r="C25" s="113"/>
      <c r="D25" s="113"/>
      <c r="E25" s="113"/>
      <c r="F25" s="113"/>
      <c r="G25" s="113"/>
      <c r="H25" s="113"/>
      <c r="I25" s="113">
        <f t="shared" ref="I25" si="6">E25+I23</f>
        <v>2</v>
      </c>
      <c r="J25" s="113"/>
      <c r="K25" s="113"/>
      <c r="L25" s="113"/>
      <c r="N25" s="117"/>
      <c r="O25" s="117"/>
      <c r="P25" s="117"/>
      <c r="Q25" s="117"/>
      <c r="R25" s="117"/>
      <c r="S25" s="117"/>
      <c r="T25" s="117"/>
      <c r="U25" s="117"/>
      <c r="V25" s="117"/>
      <c r="W25" s="117"/>
    </row>
    <row r="26" spans="1:23" ht="20.399999999999999" customHeight="1" thickBot="1" x14ac:dyDescent="0.3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N26" s="117"/>
      <c r="O26" s="117"/>
      <c r="P26" s="117"/>
      <c r="Q26" s="117"/>
      <c r="R26" s="117"/>
      <c r="S26" s="117"/>
      <c r="T26" s="117"/>
      <c r="U26" s="117"/>
      <c r="V26" s="117"/>
      <c r="W26" s="117"/>
    </row>
    <row r="27" spans="1:23" ht="20.399999999999999" customHeight="1" thickTop="1" x14ac:dyDescent="0.25">
      <c r="A27" s="113"/>
      <c r="B27" s="113"/>
      <c r="C27" s="113"/>
      <c r="D27" s="113"/>
      <c r="E27" s="113"/>
      <c r="F27" s="113"/>
      <c r="G27" s="113"/>
      <c r="H27" s="113"/>
      <c r="I27" s="113">
        <f t="shared" ref="I27" si="7">E27+I25</f>
        <v>2</v>
      </c>
      <c r="J27" s="113"/>
      <c r="K27" s="113"/>
      <c r="L27" s="113"/>
      <c r="N27" s="117"/>
      <c r="O27" s="117"/>
      <c r="P27" s="117"/>
      <c r="Q27" s="117"/>
      <c r="R27" s="117"/>
      <c r="S27" s="117"/>
      <c r="T27" s="117"/>
      <c r="U27" s="117"/>
      <c r="V27" s="117"/>
      <c r="W27" s="117"/>
    </row>
    <row r="28" spans="1:23" ht="20.399999999999999" customHeight="1" thickBot="1" x14ac:dyDescent="0.3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N28" s="117"/>
      <c r="O28" s="117"/>
      <c r="P28" s="117"/>
      <c r="Q28" s="117"/>
      <c r="R28" s="117"/>
      <c r="S28" s="117"/>
      <c r="T28" s="117"/>
      <c r="U28" s="117"/>
      <c r="V28" s="117"/>
      <c r="W28" s="117"/>
    </row>
    <row r="29" spans="1:23" ht="20.399999999999999" customHeight="1" thickTop="1" x14ac:dyDescent="0.25">
      <c r="A29" s="113"/>
      <c r="B29" s="113"/>
      <c r="C29" s="113"/>
      <c r="D29" s="113"/>
      <c r="E29" s="113"/>
      <c r="F29" s="113"/>
      <c r="G29" s="113"/>
      <c r="H29" s="113"/>
      <c r="I29" s="113">
        <f t="shared" ref="I29" si="8">E29+I27</f>
        <v>2</v>
      </c>
      <c r="J29" s="113"/>
      <c r="K29" s="113"/>
      <c r="L29" s="113"/>
      <c r="N29" s="117"/>
      <c r="O29" s="117"/>
      <c r="P29" s="117"/>
      <c r="Q29" s="117"/>
      <c r="R29" s="117"/>
      <c r="S29" s="117"/>
      <c r="T29" s="117"/>
      <c r="U29" s="117"/>
      <c r="V29" s="117"/>
      <c r="W29" s="117"/>
    </row>
    <row r="30" spans="1:23" ht="20.399999999999999" customHeight="1" thickBot="1" x14ac:dyDescent="0.3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N30" s="117"/>
      <c r="O30" s="117"/>
      <c r="P30" s="117"/>
      <c r="Q30" s="117"/>
      <c r="R30" s="117"/>
      <c r="S30" s="117"/>
      <c r="T30" s="117"/>
      <c r="U30" s="117"/>
      <c r="V30" s="117"/>
      <c r="W30" s="117"/>
    </row>
    <row r="31" spans="1:23" ht="20.399999999999999" customHeight="1" thickTop="1" x14ac:dyDescent="0.25"/>
    <row r="32" spans="1:23" ht="20.399999999999999" customHeight="1" x14ac:dyDescent="0.25">
      <c r="I32" s="30"/>
      <c r="J32" s="30"/>
      <c r="K32" s="30"/>
      <c r="L32" s="30"/>
      <c r="M32" s="30"/>
      <c r="N32" s="30"/>
      <c r="O32" s="30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I23:L24"/>
    <mergeCell ref="I25:L26"/>
    <mergeCell ref="I27:L28"/>
    <mergeCell ref="A1:L2"/>
    <mergeCell ref="N1:W2"/>
    <mergeCell ref="A9:D10"/>
    <mergeCell ref="A13:D14"/>
    <mergeCell ref="A15:D16"/>
    <mergeCell ref="E9:H10"/>
    <mergeCell ref="I9:L10"/>
    <mergeCell ref="E13:H14"/>
    <mergeCell ref="I11:L12"/>
    <mergeCell ref="E15:H16"/>
    <mergeCell ref="I13:L14"/>
    <mergeCell ref="I15:L16"/>
    <mergeCell ref="N3:W30"/>
    <mergeCell ref="A7:D8"/>
    <mergeCell ref="E7:H8"/>
    <mergeCell ref="I7:L8"/>
    <mergeCell ref="A19:D20"/>
    <mergeCell ref="E19:H20"/>
    <mergeCell ref="I17:L18"/>
    <mergeCell ref="I19:L20"/>
    <mergeCell ref="A21:D22"/>
    <mergeCell ref="E21:H22"/>
    <mergeCell ref="I21:L22"/>
    <mergeCell ref="A29:D30"/>
    <mergeCell ref="E29:H30"/>
    <mergeCell ref="I29:L30"/>
    <mergeCell ref="A17:D18"/>
    <mergeCell ref="E17:H18"/>
    <mergeCell ref="A5:C6"/>
    <mergeCell ref="D5:F6"/>
    <mergeCell ref="G5:I6"/>
    <mergeCell ref="J5:L6"/>
    <mergeCell ref="A3:D4"/>
    <mergeCell ref="E3:L4"/>
    <mergeCell ref="A27:D28"/>
    <mergeCell ref="E27:H28"/>
    <mergeCell ref="A11:D12"/>
    <mergeCell ref="E11:H12"/>
    <mergeCell ref="A23:D24"/>
    <mergeCell ref="E23:H24"/>
    <mergeCell ref="A25:D26"/>
    <mergeCell ref="E25:H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20" t="s">
        <v>6</v>
      </c>
      <c r="B1" s="120"/>
      <c r="C1" s="120"/>
      <c r="D1" s="120"/>
      <c r="E1" s="120"/>
      <c r="F1" s="120"/>
      <c r="G1" s="120"/>
      <c r="H1" s="44"/>
      <c r="I1" s="120" t="s">
        <v>7</v>
      </c>
      <c r="J1" s="120"/>
      <c r="K1" s="120"/>
      <c r="L1" s="120"/>
      <c r="M1" s="120"/>
      <c r="N1" s="120"/>
      <c r="O1" s="120"/>
      <c r="P1" s="44"/>
      <c r="Q1" s="120" t="s">
        <v>313</v>
      </c>
      <c r="R1" s="120"/>
      <c r="S1" s="120"/>
      <c r="T1" s="120"/>
      <c r="U1" s="120"/>
      <c r="V1" s="120"/>
      <c r="W1" s="120"/>
      <c r="X1" s="44"/>
      <c r="Y1" s="120" t="s">
        <v>8</v>
      </c>
      <c r="Z1" s="120"/>
      <c r="AA1" s="120"/>
      <c r="AB1" s="120"/>
      <c r="AC1" s="120"/>
      <c r="AD1" s="120"/>
      <c r="AE1" s="120"/>
    </row>
    <row r="2" spans="1:31" ht="20.399999999999999" customHeight="1" x14ac:dyDescent="0.25">
      <c r="A2" s="120"/>
      <c r="B2" s="120"/>
      <c r="C2" s="120"/>
      <c r="D2" s="120"/>
      <c r="E2" s="120"/>
      <c r="F2" s="120"/>
      <c r="G2" s="120"/>
      <c r="H2" s="44"/>
      <c r="I2" s="120"/>
      <c r="J2" s="120"/>
      <c r="K2" s="120"/>
      <c r="L2" s="120"/>
      <c r="M2" s="120"/>
      <c r="N2" s="120"/>
      <c r="O2" s="120"/>
      <c r="P2" s="44"/>
      <c r="Q2" s="120"/>
      <c r="R2" s="120"/>
      <c r="S2" s="120"/>
      <c r="T2" s="120"/>
      <c r="U2" s="120"/>
      <c r="V2" s="120"/>
      <c r="W2" s="120"/>
      <c r="X2" s="44"/>
      <c r="Y2" s="120"/>
      <c r="Z2" s="120"/>
      <c r="AA2" s="120"/>
      <c r="AB2" s="120"/>
      <c r="AC2" s="120"/>
      <c r="AD2" s="120"/>
      <c r="AE2" s="120"/>
    </row>
    <row r="3" spans="1:31" ht="20.399999999999999" customHeight="1" x14ac:dyDescent="0.25">
      <c r="A3" s="121" t="s">
        <v>154</v>
      </c>
      <c r="B3" s="121"/>
      <c r="C3" s="121"/>
      <c r="D3" s="121"/>
      <c r="E3" s="121"/>
      <c r="F3" s="121"/>
      <c r="G3" s="121"/>
      <c r="I3" s="121"/>
      <c r="J3" s="121"/>
      <c r="K3" s="121"/>
      <c r="L3" s="121"/>
      <c r="M3" s="121"/>
      <c r="N3" s="121"/>
      <c r="O3" s="121"/>
      <c r="Q3" s="122" t="s">
        <v>314</v>
      </c>
      <c r="R3" s="122"/>
      <c r="S3" s="122"/>
      <c r="T3" s="123">
        <v>0</v>
      </c>
      <c r="U3" s="123"/>
      <c r="V3" s="123"/>
      <c r="W3" s="123"/>
      <c r="Y3" s="121"/>
      <c r="Z3" s="121"/>
      <c r="AA3" s="121"/>
      <c r="AB3" s="121"/>
      <c r="AC3" s="121"/>
      <c r="AD3" s="121"/>
      <c r="AE3" s="121"/>
    </row>
    <row r="4" spans="1:31" ht="20.399999999999999" customHeight="1" x14ac:dyDescent="0.25">
      <c r="A4" s="121"/>
      <c r="B4" s="121"/>
      <c r="C4" s="121"/>
      <c r="D4" s="121"/>
      <c r="E4" s="121"/>
      <c r="F4" s="121"/>
      <c r="G4" s="121"/>
      <c r="I4" s="121"/>
      <c r="J4" s="121"/>
      <c r="K4" s="121"/>
      <c r="L4" s="121"/>
      <c r="M4" s="121"/>
      <c r="N4" s="121"/>
      <c r="O4" s="121"/>
      <c r="Q4" s="122"/>
      <c r="R4" s="122"/>
      <c r="S4" s="122"/>
      <c r="T4" s="123"/>
      <c r="U4" s="123"/>
      <c r="V4" s="123"/>
      <c r="W4" s="123"/>
      <c r="Y4" s="121"/>
      <c r="Z4" s="121"/>
      <c r="AA4" s="121"/>
      <c r="AB4" s="121"/>
      <c r="AC4" s="121"/>
      <c r="AD4" s="121"/>
      <c r="AE4" s="121"/>
    </row>
    <row r="5" spans="1:31" ht="20.399999999999999" customHeight="1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2" t="s">
        <v>315</v>
      </c>
      <c r="R5" s="122"/>
      <c r="S5" s="122"/>
      <c r="T5" s="123" t="s">
        <v>317</v>
      </c>
      <c r="U5" s="123"/>
      <c r="V5" s="123"/>
      <c r="W5" s="123"/>
      <c r="Y5" s="121"/>
      <c r="Z5" s="121"/>
      <c r="AA5" s="121"/>
      <c r="AB5" s="121"/>
      <c r="AC5" s="121"/>
      <c r="AD5" s="121"/>
      <c r="AE5" s="121"/>
    </row>
    <row r="6" spans="1:31" ht="20.399999999999999" customHeight="1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2"/>
      <c r="R6" s="122"/>
      <c r="S6" s="122"/>
      <c r="T6" s="123"/>
      <c r="U6" s="123"/>
      <c r="V6" s="123"/>
      <c r="W6" s="123"/>
      <c r="Y6" s="121"/>
      <c r="Z6" s="121"/>
      <c r="AA6" s="121"/>
      <c r="AB6" s="121"/>
      <c r="AC6" s="121"/>
      <c r="AD6" s="121"/>
      <c r="AE6" s="121"/>
    </row>
    <row r="7" spans="1:31" ht="20.399999999999999" customHeight="1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2" t="s">
        <v>316</v>
      </c>
      <c r="R7" s="122"/>
      <c r="S7" s="122"/>
      <c r="T7" s="123" t="s">
        <v>318</v>
      </c>
      <c r="U7" s="123"/>
      <c r="V7" s="123"/>
      <c r="W7" s="123"/>
      <c r="Y7" s="121"/>
      <c r="Z7" s="121"/>
      <c r="AA7" s="121"/>
      <c r="AB7" s="121"/>
      <c r="AC7" s="121"/>
      <c r="AD7" s="121"/>
      <c r="AE7" s="121"/>
    </row>
    <row r="8" spans="1:31" ht="20.399999999999999" customHeight="1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2"/>
      <c r="R8" s="122"/>
      <c r="S8" s="122"/>
      <c r="T8" s="123"/>
      <c r="U8" s="123"/>
      <c r="V8" s="123"/>
      <c r="W8" s="123"/>
      <c r="Y8" s="121"/>
      <c r="Z8" s="121"/>
      <c r="AA8" s="121"/>
      <c r="AB8" s="121"/>
      <c r="AC8" s="121"/>
      <c r="AD8" s="121"/>
      <c r="AE8" s="121"/>
    </row>
    <row r="9" spans="1:31" ht="20.399999999999999" customHeight="1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2" t="s">
        <v>319</v>
      </c>
      <c r="R9" s="122"/>
      <c r="S9" s="122"/>
      <c r="T9" s="122"/>
      <c r="U9" s="122"/>
      <c r="V9" s="122"/>
      <c r="W9" s="122"/>
      <c r="Y9" s="121"/>
      <c r="Z9" s="121"/>
      <c r="AA9" s="121"/>
      <c r="AB9" s="121"/>
      <c r="AC9" s="121"/>
      <c r="AD9" s="121"/>
      <c r="AE9" s="121"/>
    </row>
    <row r="10" spans="1:31" ht="20.399999999999999" customHeight="1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2"/>
      <c r="R10" s="122"/>
      <c r="S10" s="122"/>
      <c r="T10" s="122"/>
      <c r="U10" s="122"/>
      <c r="V10" s="122"/>
      <c r="W10" s="122"/>
      <c r="Y10" s="121"/>
      <c r="Z10" s="121"/>
      <c r="AA10" s="121"/>
      <c r="AB10" s="121"/>
      <c r="AC10" s="121"/>
      <c r="AD10" s="121"/>
      <c r="AE10" s="121"/>
    </row>
    <row r="11" spans="1:31" ht="20.399999999999999" customHeight="1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3" t="s">
        <v>320</v>
      </c>
      <c r="R11" s="123"/>
      <c r="S11" s="123"/>
      <c r="T11" s="123"/>
      <c r="U11" s="123"/>
      <c r="V11" s="123"/>
      <c r="W11" s="123"/>
      <c r="Y11" s="121"/>
      <c r="Z11" s="121"/>
      <c r="AA11" s="121"/>
      <c r="AB11" s="121"/>
      <c r="AC11" s="121"/>
      <c r="AD11" s="121"/>
      <c r="AE11" s="121"/>
    </row>
    <row r="12" spans="1:31" ht="20.399999999999999" customHeight="1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3"/>
      <c r="R12" s="123"/>
      <c r="S12" s="123"/>
      <c r="T12" s="123"/>
      <c r="U12" s="123"/>
      <c r="V12" s="123"/>
      <c r="W12" s="123"/>
      <c r="Y12" s="121"/>
      <c r="Z12" s="121"/>
      <c r="AA12" s="121"/>
      <c r="AB12" s="121"/>
      <c r="AC12" s="121"/>
      <c r="AD12" s="121"/>
      <c r="AE12" s="121"/>
    </row>
    <row r="13" spans="1:31" ht="20.399999999999999" customHeight="1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3"/>
      <c r="R13" s="123"/>
      <c r="S13" s="123"/>
      <c r="T13" s="123"/>
      <c r="U13" s="123"/>
      <c r="V13" s="123"/>
      <c r="W13" s="123"/>
      <c r="Y13" s="121"/>
      <c r="Z13" s="121"/>
      <c r="AA13" s="121"/>
      <c r="AB13" s="121"/>
      <c r="AC13" s="121"/>
      <c r="AD13" s="121"/>
      <c r="AE13" s="121"/>
    </row>
    <row r="14" spans="1:31" ht="20.399999999999999" customHeight="1" x14ac:dyDescent="0.25">
      <c r="A14" s="121"/>
      <c r="B14" s="121"/>
      <c r="C14" s="121"/>
      <c r="D14" s="121"/>
      <c r="E14" s="121"/>
      <c r="F14" s="121"/>
      <c r="G14" s="121"/>
      <c r="I14" s="120" t="s">
        <v>149</v>
      </c>
      <c r="J14" s="120"/>
      <c r="K14" s="120"/>
      <c r="L14" s="120"/>
      <c r="M14" s="120"/>
      <c r="N14" s="120"/>
      <c r="O14" s="120"/>
      <c r="Q14" s="122" t="s">
        <v>321</v>
      </c>
      <c r="R14" s="122"/>
      <c r="S14" s="122"/>
      <c r="T14" s="122"/>
      <c r="U14" s="122"/>
      <c r="V14" s="122"/>
      <c r="W14" s="122"/>
      <c r="Y14" s="121"/>
      <c r="Z14" s="121"/>
      <c r="AA14" s="121"/>
      <c r="AB14" s="121"/>
      <c r="AC14" s="121"/>
      <c r="AD14" s="121"/>
      <c r="AE14" s="121"/>
    </row>
    <row r="15" spans="1:31" ht="20.399999999999999" customHeight="1" x14ac:dyDescent="0.25">
      <c r="A15" s="121"/>
      <c r="B15" s="121"/>
      <c r="C15" s="121"/>
      <c r="D15" s="121"/>
      <c r="E15" s="121"/>
      <c r="F15" s="121"/>
      <c r="G15" s="121"/>
      <c r="I15" s="120"/>
      <c r="J15" s="120"/>
      <c r="K15" s="120"/>
      <c r="L15" s="120"/>
      <c r="M15" s="120"/>
      <c r="N15" s="120"/>
      <c r="O15" s="120"/>
      <c r="Q15" s="122"/>
      <c r="R15" s="122"/>
      <c r="S15" s="122"/>
      <c r="T15" s="122"/>
      <c r="U15" s="122"/>
      <c r="V15" s="122"/>
      <c r="W15" s="122"/>
      <c r="Y15" s="121"/>
      <c r="Z15" s="121"/>
      <c r="AA15" s="121"/>
      <c r="AB15" s="121"/>
      <c r="AC15" s="121"/>
      <c r="AD15" s="121"/>
      <c r="AE15" s="121"/>
    </row>
    <row r="16" spans="1:31" ht="20.399999999999999" customHeight="1" x14ac:dyDescent="0.25">
      <c r="A16" s="121"/>
      <c r="B16" s="121"/>
      <c r="C16" s="121"/>
      <c r="D16" s="121"/>
      <c r="E16" s="121"/>
      <c r="F16" s="121"/>
      <c r="G16" s="121"/>
      <c r="I16" s="121" t="s">
        <v>151</v>
      </c>
      <c r="J16" s="121"/>
      <c r="K16" s="121"/>
      <c r="L16" s="121"/>
      <c r="M16" s="121"/>
      <c r="N16" s="121"/>
      <c r="O16" s="121"/>
      <c r="Q16" s="123" t="s">
        <v>322</v>
      </c>
      <c r="R16" s="123"/>
      <c r="S16" s="123"/>
      <c r="T16" s="123"/>
      <c r="U16" s="123"/>
      <c r="V16" s="123"/>
      <c r="W16" s="123"/>
      <c r="Y16" s="121"/>
      <c r="Z16" s="121"/>
      <c r="AA16" s="121"/>
      <c r="AB16" s="121"/>
      <c r="AC16" s="121"/>
      <c r="AD16" s="121"/>
      <c r="AE16" s="121"/>
    </row>
    <row r="17" spans="1:31" ht="20.399999999999999" customHeight="1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3"/>
      <c r="R17" s="123"/>
      <c r="S17" s="123"/>
      <c r="T17" s="123"/>
      <c r="U17" s="123"/>
      <c r="V17" s="123"/>
      <c r="W17" s="123"/>
      <c r="Y17" s="121"/>
      <c r="Z17" s="121"/>
      <c r="AA17" s="121"/>
      <c r="AB17" s="121"/>
      <c r="AC17" s="121"/>
      <c r="AD17" s="121"/>
      <c r="AE17" s="121"/>
    </row>
    <row r="18" spans="1:31" ht="20.399999999999999" customHeight="1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3"/>
      <c r="R18" s="123"/>
      <c r="S18" s="123"/>
      <c r="T18" s="123"/>
      <c r="U18" s="123"/>
      <c r="V18" s="123"/>
      <c r="W18" s="123"/>
      <c r="Y18" s="121"/>
      <c r="Z18" s="121"/>
      <c r="AA18" s="121"/>
      <c r="AB18" s="121"/>
      <c r="AC18" s="121"/>
      <c r="AD18" s="121"/>
      <c r="AE18" s="121"/>
    </row>
    <row r="19" spans="1:31" ht="20.399999999999999" customHeight="1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Y19" s="121"/>
      <c r="Z19" s="121"/>
      <c r="AA19" s="121"/>
      <c r="AB19" s="121"/>
      <c r="AC19" s="121"/>
      <c r="AD19" s="121"/>
      <c r="AE19" s="121"/>
    </row>
    <row r="20" spans="1:31" ht="20.399999999999999" customHeight="1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Y20" s="121"/>
      <c r="Z20" s="121"/>
      <c r="AA20" s="121"/>
      <c r="AB20" s="121"/>
      <c r="AC20" s="121"/>
      <c r="AD20" s="121"/>
      <c r="AE20" s="121"/>
    </row>
    <row r="21" spans="1:31" ht="20.399999999999999" customHeight="1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Y21" s="121"/>
      <c r="Z21" s="121"/>
      <c r="AA21" s="121"/>
      <c r="AB21" s="121"/>
      <c r="AC21" s="121"/>
      <c r="AD21" s="121"/>
      <c r="AE21" s="121"/>
    </row>
    <row r="22" spans="1:31" ht="20.399999999999999" customHeight="1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Y22" s="121"/>
      <c r="Z22" s="121"/>
      <c r="AA22" s="121"/>
      <c r="AB22" s="121"/>
      <c r="AC22" s="121"/>
      <c r="AD22" s="121"/>
      <c r="AE22" s="121"/>
    </row>
    <row r="23" spans="1:31" ht="20.399999999999999" customHeight="1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Y23" s="121"/>
      <c r="Z23" s="121"/>
      <c r="AA23" s="121"/>
      <c r="AB23" s="121"/>
      <c r="AC23" s="121"/>
      <c r="AD23" s="121"/>
      <c r="AE23" s="121"/>
    </row>
    <row r="24" spans="1:31" ht="20.399999999999999" customHeight="1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Y24" s="121"/>
      <c r="Z24" s="121"/>
      <c r="AA24" s="121"/>
      <c r="AB24" s="121"/>
      <c r="AC24" s="121"/>
      <c r="AD24" s="121"/>
      <c r="AE24" s="121"/>
    </row>
    <row r="25" spans="1:31" ht="20.399999999999999" customHeight="1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U25" s="30"/>
      <c r="V25" s="30"/>
      <c r="W25" s="30"/>
      <c r="Y25" s="121"/>
      <c r="Z25" s="121"/>
      <c r="AA25" s="121"/>
      <c r="AB25" s="121"/>
      <c r="AC25" s="121"/>
      <c r="AD25" s="121"/>
      <c r="AE25" s="121"/>
    </row>
    <row r="26" spans="1:31" ht="20.399999999999999" customHeight="1" x14ac:dyDescent="0.25">
      <c r="I26" s="30"/>
      <c r="J26" s="30"/>
      <c r="K26" s="30"/>
      <c r="L26" s="30"/>
      <c r="M26" s="30"/>
      <c r="N26" s="30"/>
      <c r="O26" s="30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24" t="s">
        <v>65</v>
      </c>
      <c r="B1" s="65"/>
      <c r="C1" s="65"/>
      <c r="D1" s="65"/>
      <c r="E1" s="65"/>
      <c r="F1" s="65"/>
      <c r="G1" s="65"/>
      <c r="I1" s="124" t="s">
        <v>66</v>
      </c>
      <c r="J1" s="65"/>
      <c r="K1" s="65"/>
      <c r="L1" s="65"/>
      <c r="M1" s="65"/>
      <c r="N1" s="65"/>
      <c r="O1" s="65"/>
      <c r="Q1" s="124" t="s">
        <v>67</v>
      </c>
      <c r="R1" s="65"/>
      <c r="S1" s="65"/>
      <c r="T1" s="65"/>
      <c r="U1" s="65"/>
      <c r="V1" s="65"/>
      <c r="W1" s="65"/>
    </row>
    <row r="2" spans="1:23" x14ac:dyDescent="0.25">
      <c r="A2" s="65"/>
      <c r="B2" s="65"/>
      <c r="C2" s="65"/>
      <c r="D2" s="65"/>
      <c r="E2" s="65"/>
      <c r="F2" s="65"/>
      <c r="G2" s="65"/>
      <c r="I2" s="65"/>
      <c r="J2" s="65"/>
      <c r="K2" s="65"/>
      <c r="L2" s="65"/>
      <c r="M2" s="65"/>
      <c r="N2" s="65"/>
      <c r="O2" s="65"/>
      <c r="Q2" s="65"/>
      <c r="R2" s="65"/>
      <c r="S2" s="65"/>
      <c r="T2" s="65"/>
      <c r="U2" s="65"/>
      <c r="V2" s="65"/>
      <c r="W2" s="65"/>
    </row>
    <row r="3" spans="1:23" x14ac:dyDescent="0.25">
      <c r="A3" s="65"/>
      <c r="B3" s="65"/>
      <c r="C3" s="65"/>
      <c r="D3" s="65"/>
      <c r="E3" s="65"/>
      <c r="F3" s="65"/>
      <c r="G3" s="65"/>
      <c r="I3" s="65"/>
      <c r="J3" s="65"/>
      <c r="K3" s="65"/>
      <c r="L3" s="65"/>
      <c r="M3" s="65"/>
      <c r="N3" s="65"/>
      <c r="O3" s="65"/>
      <c r="Q3" s="65"/>
      <c r="R3" s="65"/>
      <c r="S3" s="65"/>
      <c r="T3" s="65"/>
      <c r="U3" s="65"/>
      <c r="V3" s="65"/>
      <c r="W3" s="65"/>
    </row>
    <row r="4" spans="1:23" x14ac:dyDescent="0.25">
      <c r="A4" s="121" t="s">
        <v>68</v>
      </c>
      <c r="B4" s="121"/>
      <c r="C4" s="121"/>
      <c r="D4" s="121"/>
      <c r="E4" s="121"/>
      <c r="F4" s="121"/>
      <c r="G4" s="121"/>
      <c r="I4" s="121" t="s">
        <v>69</v>
      </c>
      <c r="J4" s="121"/>
      <c r="K4" s="121"/>
      <c r="L4" s="121"/>
      <c r="M4" s="121"/>
      <c r="N4" s="121"/>
      <c r="O4" s="121"/>
      <c r="Q4" s="121" t="s">
        <v>70</v>
      </c>
      <c r="R4" s="121"/>
      <c r="S4" s="121"/>
      <c r="T4" s="121"/>
      <c r="U4" s="121"/>
      <c r="V4" s="121"/>
      <c r="W4" s="121"/>
    </row>
    <row r="5" spans="1:23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1"/>
      <c r="R5" s="121"/>
      <c r="S5" s="121"/>
      <c r="T5" s="121"/>
      <c r="U5" s="121"/>
      <c r="V5" s="121"/>
      <c r="W5" s="121"/>
    </row>
    <row r="6" spans="1:23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1"/>
      <c r="R6" s="121"/>
      <c r="S6" s="121"/>
      <c r="T6" s="121"/>
      <c r="U6" s="121"/>
      <c r="V6" s="121"/>
      <c r="W6" s="121"/>
    </row>
    <row r="7" spans="1:23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1"/>
      <c r="R7" s="121"/>
      <c r="S7" s="121"/>
      <c r="T7" s="121"/>
      <c r="U7" s="121"/>
      <c r="V7" s="121"/>
      <c r="W7" s="121"/>
    </row>
    <row r="8" spans="1:23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1"/>
      <c r="R8" s="121"/>
      <c r="S8" s="121"/>
      <c r="T8" s="121"/>
      <c r="U8" s="121"/>
      <c r="V8" s="121"/>
      <c r="W8" s="121"/>
    </row>
    <row r="9" spans="1:23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1"/>
      <c r="R9" s="121"/>
      <c r="S9" s="121"/>
      <c r="T9" s="121"/>
      <c r="U9" s="121"/>
      <c r="V9" s="121"/>
      <c r="W9" s="121"/>
    </row>
    <row r="10" spans="1:23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1"/>
      <c r="R10" s="121"/>
      <c r="S10" s="121"/>
      <c r="T10" s="121"/>
      <c r="U10" s="121"/>
      <c r="V10" s="121"/>
      <c r="W10" s="121"/>
    </row>
    <row r="11" spans="1:23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1"/>
      <c r="R11" s="121"/>
      <c r="S11" s="121"/>
      <c r="T11" s="121"/>
      <c r="U11" s="121"/>
      <c r="V11" s="121"/>
      <c r="W11" s="121"/>
    </row>
    <row r="12" spans="1:23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1"/>
      <c r="R12" s="121"/>
      <c r="S12" s="121"/>
      <c r="T12" s="121"/>
      <c r="U12" s="121"/>
      <c r="V12" s="121"/>
      <c r="W12" s="121"/>
    </row>
    <row r="13" spans="1:23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1"/>
      <c r="R13" s="121"/>
      <c r="S13" s="121"/>
      <c r="T13" s="121"/>
      <c r="U13" s="121"/>
      <c r="V13" s="121"/>
      <c r="W13" s="121"/>
    </row>
    <row r="14" spans="1:23" x14ac:dyDescent="0.25">
      <c r="A14" s="121"/>
      <c r="B14" s="121"/>
      <c r="C14" s="121"/>
      <c r="D14" s="121"/>
      <c r="E14" s="121"/>
      <c r="F14" s="121"/>
      <c r="G14" s="121"/>
      <c r="I14" s="121"/>
      <c r="J14" s="121"/>
      <c r="K14" s="121"/>
      <c r="L14" s="121"/>
      <c r="M14" s="121"/>
      <c r="N14" s="121"/>
      <c r="O14" s="121"/>
      <c r="Q14" s="121"/>
      <c r="R14" s="121"/>
      <c r="S14" s="121"/>
      <c r="T14" s="121"/>
      <c r="U14" s="121"/>
      <c r="V14" s="121"/>
      <c r="W14" s="121"/>
    </row>
    <row r="15" spans="1:23" x14ac:dyDescent="0.25">
      <c r="A15" s="121"/>
      <c r="B15" s="121"/>
      <c r="C15" s="121"/>
      <c r="D15" s="121"/>
      <c r="E15" s="121"/>
      <c r="F15" s="121"/>
      <c r="G15" s="121"/>
      <c r="I15" s="121"/>
      <c r="J15" s="121"/>
      <c r="K15" s="121"/>
      <c r="L15" s="121"/>
      <c r="M15" s="121"/>
      <c r="N15" s="121"/>
      <c r="O15" s="121"/>
      <c r="Q15" s="121"/>
      <c r="R15" s="121"/>
      <c r="S15" s="121"/>
      <c r="T15" s="121"/>
      <c r="U15" s="121"/>
      <c r="V15" s="121"/>
      <c r="W15" s="121"/>
    </row>
    <row r="16" spans="1:23" x14ac:dyDescent="0.25">
      <c r="A16" s="121"/>
      <c r="B16" s="121"/>
      <c r="C16" s="121"/>
      <c r="D16" s="121"/>
      <c r="E16" s="121"/>
      <c r="F16" s="121"/>
      <c r="G16" s="121"/>
      <c r="I16" s="121"/>
      <c r="J16" s="121"/>
      <c r="K16" s="121"/>
      <c r="L16" s="121"/>
      <c r="M16" s="121"/>
      <c r="N16" s="121"/>
      <c r="O16" s="121"/>
      <c r="Q16" s="121"/>
      <c r="R16" s="121"/>
      <c r="S16" s="121"/>
      <c r="T16" s="121"/>
      <c r="U16" s="121"/>
      <c r="V16" s="121"/>
      <c r="W16" s="121"/>
    </row>
    <row r="17" spans="1:23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1"/>
      <c r="R17" s="121"/>
      <c r="S17" s="121"/>
      <c r="T17" s="121"/>
      <c r="U17" s="121"/>
      <c r="V17" s="121"/>
      <c r="W17" s="121"/>
    </row>
    <row r="18" spans="1:23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1"/>
      <c r="R18" s="121"/>
      <c r="S18" s="121"/>
      <c r="T18" s="121"/>
      <c r="U18" s="121"/>
      <c r="V18" s="121"/>
      <c r="W18" s="121"/>
    </row>
    <row r="19" spans="1:23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Q19" s="121"/>
      <c r="R19" s="121"/>
      <c r="S19" s="121"/>
      <c r="T19" s="121"/>
      <c r="U19" s="121"/>
      <c r="V19" s="121"/>
      <c r="W19" s="121"/>
    </row>
    <row r="20" spans="1:23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Q20" s="121"/>
      <c r="R20" s="121"/>
      <c r="S20" s="121"/>
      <c r="T20" s="121"/>
      <c r="U20" s="121"/>
      <c r="V20" s="121"/>
      <c r="W20" s="121"/>
    </row>
    <row r="21" spans="1:23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Q21" s="121"/>
      <c r="R21" s="121"/>
      <c r="S21" s="121"/>
      <c r="T21" s="121"/>
      <c r="U21" s="121"/>
      <c r="V21" s="121"/>
      <c r="W21" s="121"/>
    </row>
    <row r="22" spans="1:23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Q22" s="121"/>
      <c r="R22" s="121"/>
      <c r="S22" s="121"/>
      <c r="T22" s="121"/>
      <c r="U22" s="121"/>
      <c r="V22" s="121"/>
      <c r="W22" s="121"/>
    </row>
    <row r="23" spans="1:23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Q23" s="121"/>
      <c r="R23" s="121"/>
      <c r="S23" s="121"/>
      <c r="T23" s="121"/>
      <c r="U23" s="121"/>
      <c r="V23" s="121"/>
      <c r="W23" s="121"/>
    </row>
    <row r="24" spans="1:23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Q24" s="121"/>
      <c r="R24" s="121"/>
      <c r="S24" s="121"/>
      <c r="T24" s="121"/>
      <c r="U24" s="121"/>
      <c r="V24" s="121"/>
      <c r="W24" s="121"/>
    </row>
    <row r="25" spans="1:23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Q25" s="121"/>
      <c r="R25" s="121"/>
      <c r="S25" s="121"/>
      <c r="T25" s="121"/>
      <c r="U25" s="121"/>
      <c r="V25" s="121"/>
      <c r="W25" s="121"/>
    </row>
    <row r="26" spans="1:23" x14ac:dyDescent="0.25">
      <c r="A26" s="121"/>
      <c r="B26" s="121"/>
      <c r="C26" s="121"/>
      <c r="D26" s="121"/>
      <c r="E26" s="121"/>
      <c r="F26" s="121"/>
      <c r="G26" s="121"/>
      <c r="I26" s="121"/>
      <c r="J26" s="121"/>
      <c r="K26" s="121"/>
      <c r="L26" s="121"/>
      <c r="M26" s="121"/>
      <c r="N26" s="121"/>
      <c r="O26" s="121"/>
      <c r="Q26" s="121"/>
      <c r="R26" s="121"/>
      <c r="S26" s="121"/>
      <c r="T26" s="121"/>
      <c r="U26" s="121"/>
      <c r="V26" s="121"/>
      <c r="W26" s="121"/>
    </row>
    <row r="27" spans="1:23" x14ac:dyDescent="0.25">
      <c r="A27" s="121"/>
      <c r="B27" s="121"/>
      <c r="C27" s="121"/>
      <c r="D27" s="121"/>
      <c r="E27" s="121"/>
      <c r="F27" s="121"/>
      <c r="G27" s="121"/>
      <c r="I27" s="121"/>
      <c r="J27" s="121"/>
      <c r="K27" s="121"/>
      <c r="L27" s="121"/>
      <c r="M27" s="121"/>
      <c r="N27" s="121"/>
      <c r="O27" s="121"/>
      <c r="Q27" s="121"/>
      <c r="R27" s="121"/>
      <c r="S27" s="121"/>
      <c r="T27" s="121"/>
      <c r="U27" s="121"/>
      <c r="V27" s="121"/>
      <c r="W27" s="12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N10" sqref="N10:S10"/>
    </sheetView>
  </sheetViews>
  <sheetFormatPr defaultRowHeight="13.8" x14ac:dyDescent="0.25"/>
  <sheetData>
    <row r="1" spans="1:23" ht="20.399999999999999" customHeight="1" thickTop="1" thickBot="1" x14ac:dyDescent="0.3">
      <c r="A1" s="138" t="s">
        <v>40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25" t="s">
        <v>384</v>
      </c>
      <c r="M1" s="126"/>
      <c r="N1" s="126"/>
      <c r="O1" s="126"/>
      <c r="P1" s="126"/>
      <c r="Q1" s="126"/>
      <c r="R1" s="127"/>
      <c r="S1" s="131" t="s">
        <v>179</v>
      </c>
      <c r="T1" s="132"/>
    </row>
    <row r="2" spans="1:23" ht="20.399999999999999" customHeight="1" thickTop="1" thickBo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28"/>
      <c r="M2" s="129"/>
      <c r="N2" s="129"/>
      <c r="O2" s="129"/>
      <c r="P2" s="129"/>
      <c r="Q2" s="129"/>
      <c r="R2" s="130"/>
      <c r="S2" s="133"/>
      <c r="T2" s="134"/>
    </row>
    <row r="3" spans="1:23" ht="20.399999999999999" customHeight="1" thickTop="1" thickBot="1" x14ac:dyDescent="0.3">
      <c r="A3" s="139" t="s">
        <v>30</v>
      </c>
      <c r="B3" s="139"/>
      <c r="C3" s="25" t="s">
        <v>115</v>
      </c>
      <c r="D3" s="137">
        <v>1</v>
      </c>
      <c r="E3" s="137"/>
      <c r="F3" s="25" t="s">
        <v>36</v>
      </c>
      <c r="G3" s="137" t="s">
        <v>356</v>
      </c>
      <c r="H3" s="137"/>
      <c r="I3" s="25" t="s">
        <v>31</v>
      </c>
      <c r="J3" s="137" t="s">
        <v>357</v>
      </c>
      <c r="K3" s="137"/>
      <c r="N3" s="151" t="s">
        <v>191</v>
      </c>
      <c r="O3" s="152"/>
      <c r="P3" s="152"/>
      <c r="Q3" s="152"/>
      <c r="R3" s="152"/>
      <c r="S3" s="153"/>
    </row>
    <row r="4" spans="1:23" ht="20.399999999999999" customHeight="1" thickTop="1" thickBot="1" x14ac:dyDescent="0.3">
      <c r="A4" s="139"/>
      <c r="B4" s="139"/>
      <c r="C4" s="25" t="s">
        <v>25</v>
      </c>
      <c r="D4" s="137" t="s">
        <v>12</v>
      </c>
      <c r="E4" s="137"/>
      <c r="F4" s="25" t="s">
        <v>37</v>
      </c>
      <c r="G4" s="137">
        <v>25</v>
      </c>
      <c r="H4" s="137"/>
      <c r="I4" s="25" t="s">
        <v>187</v>
      </c>
      <c r="J4" s="137" t="s">
        <v>51</v>
      </c>
      <c r="K4" s="137"/>
      <c r="N4" s="25" t="s">
        <v>43</v>
      </c>
      <c r="O4" s="25" t="s">
        <v>44</v>
      </c>
      <c r="P4" s="25" t="s">
        <v>45</v>
      </c>
      <c r="Q4" s="25" t="s">
        <v>46</v>
      </c>
      <c r="R4" s="25" t="s">
        <v>47</v>
      </c>
      <c r="S4" s="25" t="s">
        <v>48</v>
      </c>
      <c r="W4" s="47"/>
    </row>
    <row r="5" spans="1:23" ht="20.399999999999999" customHeight="1" thickTop="1" thickBot="1" x14ac:dyDescent="0.3">
      <c r="A5" s="139"/>
      <c r="B5" s="139"/>
      <c r="C5" s="25" t="s">
        <v>24</v>
      </c>
      <c r="D5" s="137">
        <v>3</v>
      </c>
      <c r="E5" s="137"/>
      <c r="F5" s="25" t="s">
        <v>23</v>
      </c>
      <c r="G5" s="137">
        <v>8</v>
      </c>
      <c r="H5" s="137"/>
      <c r="I5" s="25" t="s">
        <v>188</v>
      </c>
      <c r="J5" s="137" cm="1">
        <f t="array" aca="1" ref="J5" ca="1">ROUNDDOWN((20/144)*POWER(((INDIRECT("总表"&amp;"!K3")-G4)/5-12),2)+10,0)</f>
        <v>16</v>
      </c>
      <c r="K5" s="137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39"/>
      <c r="B6" s="139"/>
      <c r="C6" s="136" t="s">
        <v>375</v>
      </c>
      <c r="D6" s="135" t="s">
        <v>376</v>
      </c>
      <c r="E6" s="135"/>
      <c r="F6" s="135"/>
      <c r="G6" s="135"/>
      <c r="H6" s="135"/>
      <c r="I6" s="135"/>
      <c r="J6" s="135"/>
      <c r="K6" s="135"/>
      <c r="L6" s="140" t="s">
        <v>374</v>
      </c>
      <c r="M6" s="143" t="s">
        <v>377</v>
      </c>
      <c r="N6" s="144"/>
      <c r="O6" s="144"/>
      <c r="P6" s="144"/>
      <c r="Q6" s="144"/>
      <c r="R6" s="144"/>
      <c r="S6" s="144"/>
      <c r="T6" s="145"/>
    </row>
    <row r="7" spans="1:23" ht="20.399999999999999" customHeight="1" thickTop="1" thickBot="1" x14ac:dyDescent="0.3">
      <c r="A7" s="139"/>
      <c r="B7" s="139"/>
      <c r="C7" s="136"/>
      <c r="D7" s="135"/>
      <c r="E7" s="135"/>
      <c r="F7" s="135"/>
      <c r="G7" s="135"/>
      <c r="H7" s="135"/>
      <c r="I7" s="135"/>
      <c r="J7" s="135"/>
      <c r="K7" s="135"/>
      <c r="L7" s="141"/>
      <c r="M7" s="146"/>
      <c r="N7" s="123"/>
      <c r="O7" s="123"/>
      <c r="P7" s="123"/>
      <c r="Q7" s="123"/>
      <c r="R7" s="123"/>
      <c r="S7" s="123"/>
      <c r="T7" s="147"/>
    </row>
    <row r="8" spans="1:23" ht="20.399999999999999" customHeight="1" thickTop="1" thickBot="1" x14ac:dyDescent="0.3">
      <c r="A8" s="139"/>
      <c r="B8" s="139"/>
      <c r="C8" s="154" t="s">
        <v>39</v>
      </c>
      <c r="D8" s="135" t="s">
        <v>57</v>
      </c>
      <c r="E8" s="135"/>
      <c r="F8" s="135"/>
      <c r="G8" s="135"/>
      <c r="H8" s="135"/>
      <c r="I8" s="135"/>
      <c r="J8" s="135"/>
      <c r="K8" s="135"/>
      <c r="L8" s="141"/>
      <c r="M8" s="146"/>
      <c r="N8" s="123"/>
      <c r="O8" s="123"/>
      <c r="P8" s="123"/>
      <c r="Q8" s="123"/>
      <c r="R8" s="123"/>
      <c r="S8" s="123"/>
      <c r="T8" s="147"/>
    </row>
    <row r="9" spans="1:23" ht="20.399999999999999" customHeight="1" thickTop="1" thickBot="1" x14ac:dyDescent="0.3">
      <c r="A9" s="139"/>
      <c r="B9" s="139"/>
      <c r="C9" s="154"/>
      <c r="D9" s="135"/>
      <c r="E9" s="135"/>
      <c r="F9" s="135"/>
      <c r="G9" s="135"/>
      <c r="H9" s="135"/>
      <c r="I9" s="135"/>
      <c r="J9" s="135"/>
      <c r="K9" s="135"/>
      <c r="L9" s="142"/>
      <c r="M9" s="148"/>
      <c r="N9" s="149"/>
      <c r="O9" s="149"/>
      <c r="P9" s="149"/>
      <c r="Q9" s="149"/>
      <c r="R9" s="149"/>
      <c r="S9" s="149"/>
      <c r="T9" s="150"/>
    </row>
    <row r="10" spans="1:23" ht="20.399999999999999" customHeight="1" thickTop="1" thickBot="1" x14ac:dyDescent="0.3">
      <c r="A10" s="139" t="s">
        <v>41</v>
      </c>
      <c r="B10" s="139"/>
      <c r="C10" s="25" t="s">
        <v>115</v>
      </c>
      <c r="D10" s="137">
        <v>1</v>
      </c>
      <c r="E10" s="137"/>
      <c r="F10" s="25" t="s">
        <v>36</v>
      </c>
      <c r="G10" s="137" t="s">
        <v>54</v>
      </c>
      <c r="H10" s="137"/>
      <c r="I10" s="25" t="s">
        <v>31</v>
      </c>
      <c r="J10" s="137" t="s">
        <v>189</v>
      </c>
      <c r="K10" s="137"/>
      <c r="N10" s="151" t="s">
        <v>191</v>
      </c>
      <c r="O10" s="152"/>
      <c r="P10" s="152"/>
      <c r="Q10" s="152"/>
      <c r="R10" s="152"/>
      <c r="S10" s="153"/>
    </row>
    <row r="11" spans="1:23" ht="20.399999999999999" customHeight="1" thickTop="1" thickBot="1" x14ac:dyDescent="0.3">
      <c r="A11" s="139"/>
      <c r="B11" s="139"/>
      <c r="C11" s="25" t="s">
        <v>25</v>
      </c>
      <c r="D11" s="137" t="s">
        <v>12</v>
      </c>
      <c r="E11" s="137"/>
      <c r="F11" s="25" t="s">
        <v>37</v>
      </c>
      <c r="G11" s="137">
        <v>35</v>
      </c>
      <c r="H11" s="137"/>
      <c r="I11" s="25" t="s">
        <v>187</v>
      </c>
      <c r="J11" s="137" t="s">
        <v>55</v>
      </c>
      <c r="K11" s="137"/>
      <c r="N11" s="25" t="s">
        <v>43</v>
      </c>
      <c r="O11" s="25" t="s">
        <v>44</v>
      </c>
      <c r="P11" s="25" t="s">
        <v>45</v>
      </c>
      <c r="Q11" s="25" t="s">
        <v>46</v>
      </c>
      <c r="R11" s="25" t="s">
        <v>47</v>
      </c>
      <c r="S11" s="25" t="s">
        <v>48</v>
      </c>
    </row>
    <row r="12" spans="1:23" ht="20.399999999999999" customHeight="1" thickTop="1" thickBot="1" x14ac:dyDescent="0.3">
      <c r="A12" s="139"/>
      <c r="B12" s="139"/>
      <c r="C12" s="25" t="s">
        <v>24</v>
      </c>
      <c r="D12" s="137" t="s">
        <v>56</v>
      </c>
      <c r="E12" s="137"/>
      <c r="F12" s="25" t="s">
        <v>23</v>
      </c>
      <c r="G12" s="137">
        <v>9</v>
      </c>
      <c r="H12" s="137"/>
      <c r="I12" s="25" t="s">
        <v>188</v>
      </c>
      <c r="J12" s="137" cm="1">
        <f t="array" aca="1" ref="J12" ca="1">ROUNDDOWN((20/144)*POWER(((INDIRECT("总表"&amp;"!K3")-G11)/5-12),2)+10,0)</f>
        <v>21</v>
      </c>
      <c r="K12" s="137"/>
      <c r="N12" s="23">
        <v>2</v>
      </c>
      <c r="O12" s="23"/>
      <c r="P12" s="23"/>
      <c r="Q12" s="23"/>
      <c r="R12" s="23"/>
      <c r="S12" s="23"/>
      <c r="W12" s="29"/>
    </row>
    <row r="13" spans="1:23" ht="20.399999999999999" customHeight="1" thickTop="1" thickBot="1" x14ac:dyDescent="0.3">
      <c r="A13" s="139"/>
      <c r="B13" s="139"/>
      <c r="C13" s="136" t="s">
        <v>375</v>
      </c>
      <c r="D13" s="135" t="s">
        <v>192</v>
      </c>
      <c r="E13" s="135"/>
      <c r="F13" s="135"/>
      <c r="G13" s="135"/>
      <c r="H13" s="135"/>
      <c r="I13" s="135"/>
      <c r="J13" s="135"/>
      <c r="K13" s="135"/>
      <c r="L13" s="140" t="s">
        <v>374</v>
      </c>
      <c r="M13" s="143" t="s">
        <v>377</v>
      </c>
      <c r="N13" s="144"/>
      <c r="O13" s="144"/>
      <c r="P13" s="144"/>
      <c r="Q13" s="144"/>
      <c r="R13" s="144"/>
      <c r="S13" s="144"/>
      <c r="T13" s="145"/>
    </row>
    <row r="14" spans="1:23" ht="20.399999999999999" customHeight="1" thickTop="1" thickBot="1" x14ac:dyDescent="0.3">
      <c r="A14" s="139"/>
      <c r="B14" s="139"/>
      <c r="C14" s="136"/>
      <c r="D14" s="135"/>
      <c r="E14" s="135"/>
      <c r="F14" s="135"/>
      <c r="G14" s="135"/>
      <c r="H14" s="135"/>
      <c r="I14" s="135"/>
      <c r="J14" s="135"/>
      <c r="K14" s="135"/>
      <c r="L14" s="141"/>
      <c r="M14" s="146"/>
      <c r="N14" s="123"/>
      <c r="O14" s="123"/>
      <c r="P14" s="123"/>
      <c r="Q14" s="123"/>
      <c r="R14" s="123"/>
      <c r="S14" s="123"/>
      <c r="T14" s="147"/>
    </row>
    <row r="15" spans="1:23" ht="20.399999999999999" customHeight="1" thickTop="1" thickBot="1" x14ac:dyDescent="0.3">
      <c r="A15" s="139"/>
      <c r="B15" s="139"/>
      <c r="C15" s="154" t="s">
        <v>39</v>
      </c>
      <c r="D15" s="135" t="s">
        <v>58</v>
      </c>
      <c r="E15" s="135"/>
      <c r="F15" s="135"/>
      <c r="G15" s="135"/>
      <c r="H15" s="135"/>
      <c r="I15" s="135"/>
      <c r="J15" s="135"/>
      <c r="K15" s="135"/>
      <c r="L15" s="141"/>
      <c r="M15" s="146"/>
      <c r="N15" s="123"/>
      <c r="O15" s="123"/>
      <c r="P15" s="123"/>
      <c r="Q15" s="123"/>
      <c r="R15" s="123"/>
      <c r="S15" s="123"/>
      <c r="T15" s="147"/>
    </row>
    <row r="16" spans="1:23" ht="20.399999999999999" customHeight="1" thickTop="1" thickBot="1" x14ac:dyDescent="0.3">
      <c r="A16" s="139"/>
      <c r="B16" s="139"/>
      <c r="C16" s="154"/>
      <c r="D16" s="135"/>
      <c r="E16" s="135"/>
      <c r="F16" s="135"/>
      <c r="G16" s="135"/>
      <c r="H16" s="135"/>
      <c r="I16" s="135"/>
      <c r="J16" s="135"/>
      <c r="K16" s="135"/>
      <c r="L16" s="142"/>
      <c r="M16" s="148"/>
      <c r="N16" s="149"/>
      <c r="O16" s="149"/>
      <c r="P16" s="149"/>
      <c r="Q16" s="149"/>
      <c r="R16" s="149"/>
      <c r="S16" s="149"/>
      <c r="T16" s="150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  <mergeCell ref="J4:K4"/>
    <mergeCell ref="J5:K5"/>
    <mergeCell ref="D6:K7"/>
    <mergeCell ref="C6:C7"/>
    <mergeCell ref="A3:B9"/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各种技能!$L$4:$L$34</xm:f>
          </x14:formula1>
          <xm:sqref>J10:K10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  <x14:dataValidation type="list" allowBlank="1" showInputMessage="1" showErrorMessage="1" xr:uid="{F34621EE-D703-4F6C-A72C-AE95AF3FE4A7}">
          <x14:formula1>
            <xm:f>各种技能!$L$4:$L$34</xm:f>
          </x14:formula1>
          <xm:sqref>J3:K3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Q1" sqref="Q1:R2"/>
    </sheetView>
  </sheetViews>
  <sheetFormatPr defaultRowHeight="13.8" x14ac:dyDescent="0.25"/>
  <sheetData>
    <row r="1" spans="1:24" ht="20.399999999999999" customHeight="1" thickTop="1" x14ac:dyDescent="0.25">
      <c r="A1" s="155" t="s">
        <v>49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7"/>
      <c r="O1" s="166" t="s">
        <v>193</v>
      </c>
      <c r="P1" s="167"/>
      <c r="Q1" s="170">
        <f>FLOOR(AVERAGE(H4,H8,H12,H16),1)</f>
        <v>20</v>
      </c>
      <c r="R1" s="170"/>
      <c r="S1" s="166" t="s">
        <v>194</v>
      </c>
      <c r="T1" s="167"/>
      <c r="U1" s="170" cm="1">
        <f t="array" aca="1" ref="U1" ca="1">ROUNDDOWN((15/144)*POWER(((INDIRECT("总表"&amp;"!K3")-Q1)/5-12),2)+5,0)</f>
        <v>8</v>
      </c>
      <c r="V1" s="170"/>
      <c r="W1" s="170"/>
    </row>
    <row r="2" spans="1:24" ht="20.399999999999999" customHeight="1" thickBot="1" x14ac:dyDescent="0.3">
      <c r="A2" s="158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60"/>
      <c r="O2" s="168"/>
      <c r="P2" s="169"/>
      <c r="Q2" s="171"/>
      <c r="R2" s="171"/>
      <c r="S2" s="168"/>
      <c r="T2" s="169"/>
      <c r="U2" s="171"/>
      <c r="V2" s="171"/>
      <c r="W2" s="171"/>
    </row>
    <row r="3" spans="1:24" ht="20.399999999999999" customHeight="1" thickTop="1" thickBot="1" x14ac:dyDescent="0.3">
      <c r="A3" s="161" t="s">
        <v>26</v>
      </c>
      <c r="B3" s="154" t="s">
        <v>36</v>
      </c>
      <c r="C3" s="154"/>
      <c r="D3" s="25" t="s">
        <v>115</v>
      </c>
      <c r="E3" s="25" t="s">
        <v>42</v>
      </c>
      <c r="F3" s="25" t="s">
        <v>152</v>
      </c>
      <c r="G3" s="25" t="s">
        <v>153</v>
      </c>
      <c r="H3" s="25" t="s">
        <v>37</v>
      </c>
      <c r="I3" s="25" t="s">
        <v>43</v>
      </c>
      <c r="J3" s="25" t="s">
        <v>44</v>
      </c>
      <c r="K3" s="25" t="s">
        <v>45</v>
      </c>
      <c r="L3" s="25" t="s">
        <v>46</v>
      </c>
      <c r="M3" s="25" t="s">
        <v>47</v>
      </c>
      <c r="N3" s="25" t="s">
        <v>48</v>
      </c>
      <c r="O3" s="140" t="s">
        <v>374</v>
      </c>
      <c r="P3" s="143" t="s">
        <v>379</v>
      </c>
      <c r="Q3" s="144"/>
      <c r="R3" s="144"/>
      <c r="S3" s="144"/>
      <c r="T3" s="144"/>
      <c r="U3" s="144"/>
      <c r="V3" s="144"/>
      <c r="W3" s="145"/>
    </row>
    <row r="4" spans="1:24" ht="20.399999999999999" customHeight="1" thickTop="1" thickBot="1" x14ac:dyDescent="0.3">
      <c r="A4" s="161"/>
      <c r="B4" s="154"/>
      <c r="C4" s="154"/>
      <c r="D4" s="23">
        <v>1</v>
      </c>
      <c r="E4" s="23">
        <v>1</v>
      </c>
      <c r="F4" s="32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41"/>
      <c r="P4" s="146"/>
      <c r="Q4" s="123"/>
      <c r="R4" s="123"/>
      <c r="S4" s="123"/>
      <c r="T4" s="123"/>
      <c r="U4" s="123"/>
      <c r="V4" s="123"/>
      <c r="W4" s="147"/>
    </row>
    <row r="5" spans="1:24" ht="20.399999999999999" customHeight="1" thickTop="1" thickBot="1" x14ac:dyDescent="0.3">
      <c r="A5" s="161"/>
      <c r="B5" s="162" t="s">
        <v>59</v>
      </c>
      <c r="C5" s="162"/>
      <c r="D5" s="151" t="s">
        <v>375</v>
      </c>
      <c r="E5" s="152"/>
      <c r="F5" s="152"/>
      <c r="G5" s="152"/>
      <c r="H5" s="152"/>
      <c r="I5" s="152"/>
      <c r="J5" s="152"/>
      <c r="K5" s="152"/>
      <c r="L5" s="152"/>
      <c r="M5" s="152"/>
      <c r="N5" s="153"/>
      <c r="O5" s="141"/>
      <c r="P5" s="146"/>
      <c r="Q5" s="123"/>
      <c r="R5" s="123"/>
      <c r="S5" s="123"/>
      <c r="T5" s="123"/>
      <c r="U5" s="123"/>
      <c r="V5" s="123"/>
      <c r="W5" s="147"/>
    </row>
    <row r="6" spans="1:24" ht="20.399999999999999" customHeight="1" thickTop="1" thickBot="1" x14ac:dyDescent="0.3">
      <c r="A6" s="161"/>
      <c r="B6" s="162"/>
      <c r="C6" s="162"/>
      <c r="D6" s="163" t="s">
        <v>53</v>
      </c>
      <c r="E6" s="164"/>
      <c r="F6" s="164"/>
      <c r="G6" s="164"/>
      <c r="H6" s="164"/>
      <c r="I6" s="164"/>
      <c r="J6" s="164"/>
      <c r="K6" s="164"/>
      <c r="L6" s="164"/>
      <c r="M6" s="164"/>
      <c r="N6" s="165"/>
      <c r="O6" s="142"/>
      <c r="P6" s="148"/>
      <c r="Q6" s="149"/>
      <c r="R6" s="149"/>
      <c r="S6" s="149"/>
      <c r="T6" s="149"/>
      <c r="U6" s="149"/>
      <c r="V6" s="149"/>
      <c r="W6" s="150"/>
    </row>
    <row r="7" spans="1:24" ht="20.399999999999999" customHeight="1" thickTop="1" thickBot="1" x14ac:dyDescent="0.3">
      <c r="A7" s="161" t="s">
        <v>27</v>
      </c>
      <c r="B7" s="154" t="s">
        <v>36</v>
      </c>
      <c r="C7" s="154"/>
      <c r="D7" s="25" t="s">
        <v>115</v>
      </c>
      <c r="E7" s="25" t="s">
        <v>42</v>
      </c>
      <c r="F7" s="25" t="s">
        <v>152</v>
      </c>
      <c r="G7" s="25" t="s">
        <v>153</v>
      </c>
      <c r="H7" s="25" t="s">
        <v>37</v>
      </c>
      <c r="I7" s="25" t="s">
        <v>43</v>
      </c>
      <c r="J7" s="25" t="s">
        <v>44</v>
      </c>
      <c r="K7" s="25" t="s">
        <v>45</v>
      </c>
      <c r="L7" s="25" t="s">
        <v>46</v>
      </c>
      <c r="M7" s="25" t="s">
        <v>47</v>
      </c>
      <c r="N7" s="25" t="s">
        <v>48</v>
      </c>
      <c r="O7" s="140" t="s">
        <v>374</v>
      </c>
      <c r="P7" s="143" t="s">
        <v>378</v>
      </c>
      <c r="Q7" s="144"/>
      <c r="R7" s="144"/>
      <c r="S7" s="144"/>
      <c r="T7" s="144"/>
      <c r="U7" s="144"/>
      <c r="V7" s="144"/>
      <c r="W7" s="145"/>
    </row>
    <row r="8" spans="1:24" ht="20.399999999999999" customHeight="1" thickTop="1" thickBot="1" x14ac:dyDescent="0.3">
      <c r="A8" s="161"/>
      <c r="B8" s="154"/>
      <c r="C8" s="154"/>
      <c r="D8" s="23">
        <v>1</v>
      </c>
      <c r="E8" s="23">
        <v>2</v>
      </c>
      <c r="F8" s="32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41"/>
      <c r="P8" s="146"/>
      <c r="Q8" s="123"/>
      <c r="R8" s="123"/>
      <c r="S8" s="123"/>
      <c r="T8" s="123"/>
      <c r="U8" s="123"/>
      <c r="V8" s="123"/>
      <c r="W8" s="147"/>
    </row>
    <row r="9" spans="1:24" ht="20.399999999999999" customHeight="1" thickTop="1" thickBot="1" x14ac:dyDescent="0.3">
      <c r="A9" s="161"/>
      <c r="B9" s="162" t="s">
        <v>60</v>
      </c>
      <c r="C9" s="162"/>
      <c r="D9" s="151" t="s">
        <v>375</v>
      </c>
      <c r="E9" s="152"/>
      <c r="F9" s="152"/>
      <c r="G9" s="152"/>
      <c r="H9" s="152"/>
      <c r="I9" s="152"/>
      <c r="J9" s="152"/>
      <c r="K9" s="152"/>
      <c r="L9" s="152"/>
      <c r="M9" s="152"/>
      <c r="N9" s="153"/>
      <c r="O9" s="141"/>
      <c r="P9" s="146"/>
      <c r="Q9" s="123"/>
      <c r="R9" s="123"/>
      <c r="S9" s="123"/>
      <c r="T9" s="123"/>
      <c r="U9" s="123"/>
      <c r="V9" s="123"/>
      <c r="W9" s="147"/>
    </row>
    <row r="10" spans="1:24" ht="20.399999999999999" customHeight="1" thickTop="1" thickBot="1" x14ac:dyDescent="0.3">
      <c r="A10" s="161"/>
      <c r="B10" s="162"/>
      <c r="C10" s="162"/>
      <c r="D10" s="163" t="s">
        <v>53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5"/>
      <c r="O10" s="142"/>
      <c r="P10" s="148"/>
      <c r="Q10" s="149"/>
      <c r="R10" s="149"/>
      <c r="S10" s="149"/>
      <c r="T10" s="149"/>
      <c r="U10" s="149"/>
      <c r="V10" s="149"/>
      <c r="W10" s="150"/>
    </row>
    <row r="11" spans="1:24" ht="20.399999999999999" customHeight="1" thickTop="1" thickBot="1" x14ac:dyDescent="0.3">
      <c r="A11" s="161" t="s">
        <v>28</v>
      </c>
      <c r="B11" s="154" t="s">
        <v>36</v>
      </c>
      <c r="C11" s="154"/>
      <c r="D11" s="25" t="s">
        <v>115</v>
      </c>
      <c r="E11" s="25" t="s">
        <v>42</v>
      </c>
      <c r="F11" s="25" t="s">
        <v>152</v>
      </c>
      <c r="G11" s="25" t="s">
        <v>153</v>
      </c>
      <c r="H11" s="25" t="s">
        <v>37</v>
      </c>
      <c r="I11" s="25" t="s">
        <v>43</v>
      </c>
      <c r="J11" s="25" t="s">
        <v>44</v>
      </c>
      <c r="K11" s="25" t="s">
        <v>45</v>
      </c>
      <c r="L11" s="25" t="s">
        <v>46</v>
      </c>
      <c r="M11" s="25" t="s">
        <v>47</v>
      </c>
      <c r="N11" s="25" t="s">
        <v>48</v>
      </c>
      <c r="O11" s="140" t="s">
        <v>374</v>
      </c>
      <c r="P11" s="143" t="s">
        <v>379</v>
      </c>
      <c r="Q11" s="144"/>
      <c r="R11" s="144"/>
      <c r="S11" s="144"/>
      <c r="T11" s="144"/>
      <c r="U11" s="144"/>
      <c r="V11" s="144"/>
      <c r="W11" s="145"/>
      <c r="X11" s="31"/>
    </row>
    <row r="12" spans="1:24" ht="20.399999999999999" customHeight="1" thickTop="1" thickBot="1" x14ac:dyDescent="0.3">
      <c r="A12" s="161"/>
      <c r="B12" s="154"/>
      <c r="C12" s="154"/>
      <c r="D12" s="23">
        <v>1</v>
      </c>
      <c r="E12" s="23">
        <v>3</v>
      </c>
      <c r="F12" s="32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41"/>
      <c r="P12" s="146"/>
      <c r="Q12" s="123"/>
      <c r="R12" s="123"/>
      <c r="S12" s="123"/>
      <c r="T12" s="123"/>
      <c r="U12" s="123"/>
      <c r="V12" s="123"/>
      <c r="W12" s="147"/>
      <c r="X12" s="29"/>
    </row>
    <row r="13" spans="1:24" ht="20.399999999999999" customHeight="1" thickTop="1" thickBot="1" x14ac:dyDescent="0.3">
      <c r="A13" s="161"/>
      <c r="B13" s="162" t="s">
        <v>61</v>
      </c>
      <c r="C13" s="162"/>
      <c r="D13" s="151" t="s">
        <v>375</v>
      </c>
      <c r="E13" s="152"/>
      <c r="F13" s="152"/>
      <c r="G13" s="152"/>
      <c r="H13" s="152"/>
      <c r="I13" s="152"/>
      <c r="J13" s="152"/>
      <c r="K13" s="152"/>
      <c r="L13" s="152"/>
      <c r="M13" s="152"/>
      <c r="N13" s="153"/>
      <c r="O13" s="141"/>
      <c r="P13" s="146"/>
      <c r="Q13" s="123"/>
      <c r="R13" s="123"/>
      <c r="S13" s="123"/>
      <c r="T13" s="123"/>
      <c r="U13" s="123"/>
      <c r="V13" s="123"/>
      <c r="W13" s="147"/>
    </row>
    <row r="14" spans="1:24" ht="20.399999999999999" customHeight="1" thickTop="1" thickBot="1" x14ac:dyDescent="0.3">
      <c r="A14" s="161"/>
      <c r="B14" s="162"/>
      <c r="C14" s="162"/>
      <c r="D14" s="163" t="s">
        <v>53</v>
      </c>
      <c r="E14" s="164"/>
      <c r="F14" s="164"/>
      <c r="G14" s="164"/>
      <c r="H14" s="164"/>
      <c r="I14" s="164"/>
      <c r="J14" s="164"/>
      <c r="K14" s="164"/>
      <c r="L14" s="164"/>
      <c r="M14" s="164"/>
      <c r="N14" s="165"/>
      <c r="O14" s="142"/>
      <c r="P14" s="148"/>
      <c r="Q14" s="149"/>
      <c r="R14" s="149"/>
      <c r="S14" s="149"/>
      <c r="T14" s="149"/>
      <c r="U14" s="149"/>
      <c r="V14" s="149"/>
      <c r="W14" s="150"/>
    </row>
    <row r="15" spans="1:24" ht="20.399999999999999" customHeight="1" thickTop="1" thickBot="1" x14ac:dyDescent="0.3">
      <c r="A15" s="161" t="s">
        <v>29</v>
      </c>
      <c r="B15" s="154" t="s">
        <v>36</v>
      </c>
      <c r="C15" s="154"/>
      <c r="D15" s="25" t="s">
        <v>115</v>
      </c>
      <c r="E15" s="25" t="s">
        <v>42</v>
      </c>
      <c r="F15" s="25" t="s">
        <v>152</v>
      </c>
      <c r="G15" s="25" t="s">
        <v>153</v>
      </c>
      <c r="H15" s="25" t="s">
        <v>37</v>
      </c>
      <c r="I15" s="25" t="s">
        <v>43</v>
      </c>
      <c r="J15" s="25" t="s">
        <v>44</v>
      </c>
      <c r="K15" s="25" t="s">
        <v>45</v>
      </c>
      <c r="L15" s="25" t="s">
        <v>46</v>
      </c>
      <c r="M15" s="25" t="s">
        <v>47</v>
      </c>
      <c r="N15" s="25" t="s">
        <v>48</v>
      </c>
      <c r="O15" s="140" t="s">
        <v>374</v>
      </c>
      <c r="P15" s="143" t="s">
        <v>379</v>
      </c>
      <c r="Q15" s="144"/>
      <c r="R15" s="144"/>
      <c r="S15" s="144"/>
      <c r="T15" s="144"/>
      <c r="U15" s="144"/>
      <c r="V15" s="144"/>
      <c r="W15" s="145"/>
    </row>
    <row r="16" spans="1:24" ht="20.399999999999999" customHeight="1" thickTop="1" thickBot="1" x14ac:dyDescent="0.3">
      <c r="A16" s="161"/>
      <c r="B16" s="154"/>
      <c r="C16" s="154"/>
      <c r="D16" s="23">
        <v>1</v>
      </c>
      <c r="E16" s="23">
        <v>2</v>
      </c>
      <c r="F16" s="32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41"/>
      <c r="P16" s="146"/>
      <c r="Q16" s="123"/>
      <c r="R16" s="123"/>
      <c r="S16" s="123"/>
      <c r="T16" s="123"/>
      <c r="U16" s="123"/>
      <c r="V16" s="123"/>
      <c r="W16" s="147"/>
    </row>
    <row r="17" spans="1:23" ht="20.399999999999999" customHeight="1" thickTop="1" thickBot="1" x14ac:dyDescent="0.3">
      <c r="A17" s="161"/>
      <c r="B17" s="162" t="s">
        <v>62</v>
      </c>
      <c r="C17" s="162"/>
      <c r="D17" s="151" t="s">
        <v>375</v>
      </c>
      <c r="E17" s="152"/>
      <c r="F17" s="152"/>
      <c r="G17" s="152"/>
      <c r="H17" s="152"/>
      <c r="I17" s="152"/>
      <c r="J17" s="152"/>
      <c r="K17" s="152"/>
      <c r="L17" s="152"/>
      <c r="M17" s="152"/>
      <c r="N17" s="153"/>
      <c r="O17" s="141"/>
      <c r="P17" s="146"/>
      <c r="Q17" s="123"/>
      <c r="R17" s="123"/>
      <c r="S17" s="123"/>
      <c r="T17" s="123"/>
      <c r="U17" s="123"/>
      <c r="V17" s="123"/>
      <c r="W17" s="147"/>
    </row>
    <row r="18" spans="1:23" ht="20.399999999999999" customHeight="1" thickTop="1" thickBot="1" x14ac:dyDescent="0.3">
      <c r="A18" s="161"/>
      <c r="B18" s="162"/>
      <c r="C18" s="162"/>
      <c r="D18" s="163" t="s">
        <v>53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5"/>
      <c r="O18" s="142"/>
      <c r="P18" s="148"/>
      <c r="Q18" s="149"/>
      <c r="R18" s="149"/>
      <c r="S18" s="149"/>
      <c r="T18" s="149"/>
      <c r="U18" s="149"/>
      <c r="V18" s="149"/>
      <c r="W18" s="150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1:P2"/>
    <mergeCell ref="Q1:R2"/>
    <mergeCell ref="S1:T2"/>
    <mergeCell ref="U1:W2"/>
    <mergeCell ref="O3:O6"/>
    <mergeCell ref="P3:W6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131F-0C9C-4792-BE4A-F3DC1B0EAC42}">
  <sheetPr codeName="Sheet13"/>
  <dimension ref="A1:W22"/>
  <sheetViews>
    <sheetView workbookViewId="0">
      <selection activeCell="M7" sqref="M7:S10"/>
    </sheetView>
  </sheetViews>
  <sheetFormatPr defaultRowHeight="13.8" x14ac:dyDescent="0.25"/>
  <sheetData>
    <row r="1" spans="1:23" ht="20.399999999999999" customHeight="1" thickTop="1" x14ac:dyDescent="0.25">
      <c r="A1" s="155" t="s">
        <v>277</v>
      </c>
      <c r="B1" s="156"/>
      <c r="C1" s="156"/>
      <c r="D1" s="156"/>
      <c r="E1" s="156"/>
      <c r="F1" s="156"/>
      <c r="G1" s="156"/>
      <c r="H1" s="156"/>
      <c r="I1" s="157"/>
      <c r="K1" s="155" t="s">
        <v>274</v>
      </c>
      <c r="L1" s="156"/>
      <c r="M1" s="156"/>
      <c r="N1" s="156"/>
      <c r="O1" s="156"/>
      <c r="P1" s="156"/>
      <c r="Q1" s="156"/>
      <c r="R1" s="156"/>
      <c r="S1" s="157"/>
    </row>
    <row r="2" spans="1:23" ht="20.399999999999999" customHeight="1" thickBot="1" x14ac:dyDescent="0.3">
      <c r="A2" s="158"/>
      <c r="B2" s="159"/>
      <c r="C2" s="159"/>
      <c r="D2" s="159"/>
      <c r="E2" s="159"/>
      <c r="F2" s="159"/>
      <c r="G2" s="159"/>
      <c r="H2" s="159"/>
      <c r="I2" s="160"/>
      <c r="K2" s="158"/>
      <c r="L2" s="159"/>
      <c r="M2" s="159"/>
      <c r="N2" s="159"/>
      <c r="O2" s="159"/>
      <c r="P2" s="159"/>
      <c r="Q2" s="159"/>
      <c r="R2" s="159"/>
      <c r="S2" s="160"/>
    </row>
    <row r="3" spans="1:23" ht="20.399999999999999" customHeight="1" thickTop="1" thickBot="1" x14ac:dyDescent="0.3">
      <c r="A3" s="25" t="s">
        <v>115</v>
      </c>
      <c r="B3" s="137">
        <v>1</v>
      </c>
      <c r="C3" s="137"/>
      <c r="D3" s="25" t="s">
        <v>36</v>
      </c>
      <c r="E3" s="137" t="s">
        <v>278</v>
      </c>
      <c r="F3" s="137"/>
      <c r="G3" s="25" t="s">
        <v>31</v>
      </c>
      <c r="H3" s="137" t="s">
        <v>279</v>
      </c>
      <c r="I3" s="137"/>
      <c r="K3" s="151" t="s">
        <v>36</v>
      </c>
      <c r="L3" s="153"/>
      <c r="M3" s="25" t="s">
        <v>115</v>
      </c>
      <c r="N3" s="25" t="s">
        <v>42</v>
      </c>
      <c r="O3" s="25" t="s">
        <v>152</v>
      </c>
      <c r="P3" s="25" t="s">
        <v>153</v>
      </c>
      <c r="Q3" s="25" t="s">
        <v>276</v>
      </c>
      <c r="R3" s="25" t="s">
        <v>394</v>
      </c>
      <c r="S3" s="25" t="s">
        <v>395</v>
      </c>
    </row>
    <row r="4" spans="1:23" ht="20.399999999999999" customHeight="1" thickTop="1" thickBot="1" x14ac:dyDescent="0.3">
      <c r="A4" s="25" t="s">
        <v>271</v>
      </c>
      <c r="B4" s="137">
        <v>20</v>
      </c>
      <c r="C4" s="137"/>
      <c r="D4" s="25" t="s">
        <v>281</v>
      </c>
      <c r="E4" s="23">
        <v>25</v>
      </c>
      <c r="F4" s="23">
        <f>E4+R4</f>
        <v>25</v>
      </c>
      <c r="G4" s="25" t="s">
        <v>187</v>
      </c>
      <c r="H4" s="137" t="s">
        <v>280</v>
      </c>
      <c r="I4" s="137"/>
      <c r="K4" s="163" t="s">
        <v>275</v>
      </c>
      <c r="L4" s="165"/>
      <c r="M4" s="23">
        <v>1</v>
      </c>
      <c r="N4" s="23">
        <v>2</v>
      </c>
      <c r="O4" s="32">
        <v>0.3</v>
      </c>
      <c r="P4" s="23">
        <v>8</v>
      </c>
      <c r="Q4" s="23">
        <v>20</v>
      </c>
      <c r="R4" s="23">
        <v>0</v>
      </c>
      <c r="S4" s="23">
        <v>0</v>
      </c>
    </row>
    <row r="5" spans="1:23" ht="20.399999999999999" customHeight="1" thickTop="1" thickBot="1" x14ac:dyDescent="0.3">
      <c r="A5" s="25" t="s">
        <v>283</v>
      </c>
      <c r="B5" s="23">
        <v>8</v>
      </c>
      <c r="C5" s="23">
        <f>B5+S4</f>
        <v>8</v>
      </c>
      <c r="D5" s="25" t="s">
        <v>282</v>
      </c>
      <c r="E5" s="175">
        <f>E4/10</f>
        <v>2.5</v>
      </c>
      <c r="F5" s="175"/>
      <c r="G5" s="25" t="s">
        <v>194</v>
      </c>
      <c r="H5" s="137">
        <f>ROUNDDOWN((17/144)*POWER(((F4-Q4)/5-12),2)+3,0)</f>
        <v>17</v>
      </c>
      <c r="I5" s="137"/>
      <c r="K5" s="172" t="s">
        <v>38</v>
      </c>
      <c r="L5" s="172"/>
      <c r="M5" s="143" t="s">
        <v>53</v>
      </c>
      <c r="N5" s="144"/>
      <c r="O5" s="144"/>
      <c r="P5" s="144"/>
      <c r="Q5" s="144"/>
      <c r="R5" s="144"/>
      <c r="S5" s="145"/>
    </row>
    <row r="6" spans="1:23" ht="20.399999999999999" customHeight="1" thickTop="1" thickBot="1" x14ac:dyDescent="0.3">
      <c r="A6" s="154" t="s">
        <v>38</v>
      </c>
      <c r="B6" s="135" t="s">
        <v>53</v>
      </c>
      <c r="C6" s="135"/>
      <c r="D6" s="135"/>
      <c r="E6" s="135"/>
      <c r="F6" s="135"/>
      <c r="G6" s="135"/>
      <c r="H6" s="135"/>
      <c r="I6" s="135"/>
      <c r="K6" s="142"/>
      <c r="L6" s="142"/>
      <c r="M6" s="148"/>
      <c r="N6" s="149"/>
      <c r="O6" s="149"/>
      <c r="P6" s="149"/>
      <c r="Q6" s="149"/>
      <c r="R6" s="149"/>
      <c r="S6" s="150"/>
    </row>
    <row r="7" spans="1:23" ht="20.399999999999999" customHeight="1" thickTop="1" thickBot="1" x14ac:dyDescent="0.3">
      <c r="A7" s="154"/>
      <c r="B7" s="135"/>
      <c r="C7" s="135"/>
      <c r="D7" s="135"/>
      <c r="E7" s="135"/>
      <c r="F7" s="135"/>
      <c r="G7" s="135"/>
      <c r="H7" s="135"/>
      <c r="I7" s="135"/>
      <c r="K7" s="166" t="s">
        <v>190</v>
      </c>
      <c r="L7" s="167"/>
      <c r="M7" s="143" t="s">
        <v>381</v>
      </c>
      <c r="N7" s="144"/>
      <c r="O7" s="144"/>
      <c r="P7" s="144"/>
      <c r="Q7" s="144"/>
      <c r="R7" s="144"/>
      <c r="S7" s="145"/>
    </row>
    <row r="8" spans="1:23" ht="20.399999999999999" customHeight="1" thickTop="1" thickBot="1" x14ac:dyDescent="0.3">
      <c r="A8" s="154" t="s">
        <v>39</v>
      </c>
      <c r="B8" s="135" t="s">
        <v>284</v>
      </c>
      <c r="C8" s="135"/>
      <c r="D8" s="135"/>
      <c r="E8" s="135"/>
      <c r="F8" s="135"/>
      <c r="G8" s="135"/>
      <c r="H8" s="135"/>
      <c r="I8" s="135"/>
      <c r="K8" s="173"/>
      <c r="L8" s="174"/>
      <c r="M8" s="146"/>
      <c r="N8" s="123"/>
      <c r="O8" s="123"/>
      <c r="P8" s="123"/>
      <c r="Q8" s="123"/>
      <c r="R8" s="123"/>
      <c r="S8" s="147"/>
    </row>
    <row r="9" spans="1:23" ht="20.399999999999999" customHeight="1" thickTop="1" thickBot="1" x14ac:dyDescent="0.3">
      <c r="A9" s="154"/>
      <c r="B9" s="135"/>
      <c r="C9" s="135"/>
      <c r="D9" s="135"/>
      <c r="E9" s="135"/>
      <c r="F9" s="135"/>
      <c r="G9" s="135"/>
      <c r="H9" s="135"/>
      <c r="I9" s="135"/>
      <c r="K9" s="173"/>
      <c r="L9" s="174"/>
      <c r="M9" s="146"/>
      <c r="N9" s="123"/>
      <c r="O9" s="123"/>
      <c r="P9" s="123"/>
      <c r="Q9" s="123"/>
      <c r="R9" s="123"/>
      <c r="S9" s="147"/>
    </row>
    <row r="10" spans="1:23" ht="20.399999999999999" customHeight="1" thickTop="1" thickBot="1" x14ac:dyDescent="0.3">
      <c r="A10" s="172" t="s">
        <v>190</v>
      </c>
      <c r="B10" s="143" t="s">
        <v>380</v>
      </c>
      <c r="C10" s="144"/>
      <c r="D10" s="144"/>
      <c r="E10" s="144"/>
      <c r="F10" s="144"/>
      <c r="G10" s="144"/>
      <c r="H10" s="144"/>
      <c r="I10" s="145"/>
      <c r="K10" s="168"/>
      <c r="L10" s="169"/>
      <c r="M10" s="148"/>
      <c r="N10" s="149"/>
      <c r="O10" s="149"/>
      <c r="P10" s="149"/>
      <c r="Q10" s="149"/>
      <c r="R10" s="149"/>
      <c r="S10" s="150"/>
    </row>
    <row r="11" spans="1:23" ht="20.399999999999999" customHeight="1" thickTop="1" thickBot="1" x14ac:dyDescent="0.3">
      <c r="A11" s="141"/>
      <c r="B11" s="146"/>
      <c r="C11" s="123"/>
      <c r="D11" s="123"/>
      <c r="E11" s="123"/>
      <c r="F11" s="123"/>
      <c r="G11" s="123"/>
      <c r="H11" s="123"/>
      <c r="I11" s="147"/>
      <c r="K11" s="102" t="s">
        <v>289</v>
      </c>
      <c r="L11" s="103"/>
      <c r="M11" s="103"/>
      <c r="N11" s="103"/>
      <c r="O11" s="103"/>
      <c r="P11" s="106"/>
      <c r="Q11" s="106"/>
      <c r="R11" s="106"/>
      <c r="S11" s="106"/>
    </row>
    <row r="12" spans="1:23" ht="20.399999999999999" customHeight="1" thickTop="1" thickBot="1" x14ac:dyDescent="0.3">
      <c r="A12" s="141"/>
      <c r="B12" s="146"/>
      <c r="C12" s="123"/>
      <c r="D12" s="123"/>
      <c r="E12" s="123"/>
      <c r="F12" s="123"/>
      <c r="G12" s="123"/>
      <c r="H12" s="123"/>
      <c r="I12" s="147"/>
      <c r="K12" s="92" t="s">
        <v>19</v>
      </c>
      <c r="L12" s="92"/>
      <c r="M12" s="92"/>
      <c r="N12" s="92" t="s">
        <v>20</v>
      </c>
      <c r="O12" s="92"/>
      <c r="P12" s="92"/>
      <c r="Q12" s="92" t="s">
        <v>21</v>
      </c>
      <c r="R12" s="92"/>
      <c r="S12" s="92"/>
    </row>
    <row r="13" spans="1:23" ht="20.399999999999999" customHeight="1" thickTop="1" thickBot="1" x14ac:dyDescent="0.3">
      <c r="A13" s="142"/>
      <c r="B13" s="148"/>
      <c r="C13" s="149"/>
      <c r="D13" s="149"/>
      <c r="E13" s="149"/>
      <c r="F13" s="149"/>
      <c r="G13" s="149"/>
      <c r="H13" s="149"/>
      <c r="I13" s="150"/>
      <c r="K13" s="36">
        <v>8</v>
      </c>
      <c r="L13" s="36" t="s">
        <v>18</v>
      </c>
      <c r="M13" s="36">
        <f>P4</f>
        <v>8</v>
      </c>
      <c r="N13" s="36">
        <v>0</v>
      </c>
      <c r="O13" s="36" t="s">
        <v>18</v>
      </c>
      <c r="P13" s="36">
        <v>0</v>
      </c>
      <c r="Q13" s="36">
        <f>K13+N13</f>
        <v>8</v>
      </c>
      <c r="R13" s="36" t="s">
        <v>18</v>
      </c>
      <c r="S13" s="36">
        <f>M13+P13</f>
        <v>8</v>
      </c>
    </row>
    <row r="14" spans="1:23" ht="20.399999999999999" customHeight="1" thickTop="1" thickBot="1" x14ac:dyDescent="0.3">
      <c r="A14" s="101" t="s">
        <v>288</v>
      </c>
      <c r="B14" s="101"/>
      <c r="C14" s="101"/>
      <c r="D14" s="101"/>
      <c r="E14" s="101"/>
      <c r="F14" s="106"/>
      <c r="G14" s="106"/>
      <c r="H14" s="106"/>
      <c r="I14" s="106"/>
      <c r="W14" s="29"/>
    </row>
    <row r="15" spans="1:23" ht="20.399999999999999" customHeight="1" thickTop="1" thickBot="1" x14ac:dyDescent="0.3">
      <c r="A15" s="92" t="s">
        <v>19</v>
      </c>
      <c r="B15" s="92"/>
      <c r="C15" s="92"/>
      <c r="D15" s="92" t="s">
        <v>20</v>
      </c>
      <c r="E15" s="92"/>
      <c r="F15" s="92"/>
      <c r="G15" s="92" t="s">
        <v>21</v>
      </c>
      <c r="H15" s="92"/>
      <c r="I15" s="92"/>
    </row>
    <row r="16" spans="1:23" ht="20.399999999999999" customHeight="1" thickTop="1" thickBot="1" x14ac:dyDescent="0.3">
      <c r="A16" s="36">
        <v>20</v>
      </c>
      <c r="B16" s="36" t="s">
        <v>18</v>
      </c>
      <c r="C16" s="36">
        <f>B4</f>
        <v>20</v>
      </c>
      <c r="D16" s="36">
        <v>0</v>
      </c>
      <c r="E16" s="36" t="s">
        <v>18</v>
      </c>
      <c r="F16" s="36">
        <v>0</v>
      </c>
      <c r="G16" s="36">
        <f>A16+D16</f>
        <v>20</v>
      </c>
      <c r="H16" s="36" t="s">
        <v>18</v>
      </c>
      <c r="I16" s="36">
        <f>C16+F16</f>
        <v>20</v>
      </c>
    </row>
    <row r="17" spans="1:9" ht="20.399999999999999" customHeight="1" thickTop="1" thickBot="1" x14ac:dyDescent="0.3">
      <c r="A17" s="104" t="s">
        <v>285</v>
      </c>
      <c r="B17" s="105"/>
      <c r="C17" s="105"/>
      <c r="D17" s="105"/>
      <c r="E17" s="105"/>
      <c r="F17" s="106"/>
      <c r="G17" s="106"/>
      <c r="H17" s="106"/>
      <c r="I17" s="106"/>
    </row>
    <row r="18" spans="1:9" ht="20.399999999999999" customHeight="1" thickTop="1" thickBot="1" x14ac:dyDescent="0.3">
      <c r="A18" s="92" t="s">
        <v>286</v>
      </c>
      <c r="B18" s="92"/>
      <c r="C18" s="92"/>
      <c r="D18" s="92" t="s">
        <v>287</v>
      </c>
      <c r="E18" s="92"/>
      <c r="F18" s="92"/>
      <c r="G18" s="92" t="s">
        <v>21</v>
      </c>
      <c r="H18" s="92"/>
      <c r="I18" s="92"/>
    </row>
    <row r="19" spans="1:9" ht="20.399999999999999" customHeight="1" thickTop="1" thickBot="1" x14ac:dyDescent="0.3">
      <c r="A19" s="36">
        <v>6</v>
      </c>
      <c r="B19" s="36" t="s">
        <v>18</v>
      </c>
      <c r="C19" s="36">
        <v>6</v>
      </c>
      <c r="D19" s="36">
        <v>8</v>
      </c>
      <c r="E19" s="36" t="s">
        <v>18</v>
      </c>
      <c r="F19" s="36">
        <f>C5</f>
        <v>8</v>
      </c>
      <c r="G19" s="36">
        <f>A19+D19</f>
        <v>14</v>
      </c>
      <c r="H19" s="36" t="s">
        <v>18</v>
      </c>
      <c r="I19" s="36">
        <f>C19+F19</f>
        <v>14</v>
      </c>
    </row>
    <row r="20" spans="1:9" ht="20.399999999999999" customHeight="1" thickTop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dataConsolidate/>
  <mergeCells count="36">
    <mergeCell ref="K1:S2"/>
    <mergeCell ref="M5:S6"/>
    <mergeCell ref="M7:S10"/>
    <mergeCell ref="K7:L10"/>
    <mergeCell ref="A17:E17"/>
    <mergeCell ref="F17:I17"/>
    <mergeCell ref="P11:S11"/>
    <mergeCell ref="Q12:S12"/>
    <mergeCell ref="A1:I2"/>
    <mergeCell ref="K3:L3"/>
    <mergeCell ref="K4:L4"/>
    <mergeCell ref="E5:F5"/>
    <mergeCell ref="H5:I5"/>
    <mergeCell ref="A6:A7"/>
    <mergeCell ref="B6:I7"/>
    <mergeCell ref="B3:C3"/>
    <mergeCell ref="A18:C18"/>
    <mergeCell ref="D18:F18"/>
    <mergeCell ref="G18:I18"/>
    <mergeCell ref="A15:C15"/>
    <mergeCell ref="K11:O11"/>
    <mergeCell ref="K12:M12"/>
    <mergeCell ref="N12:P12"/>
    <mergeCell ref="E3:F3"/>
    <mergeCell ref="K5:L6"/>
    <mergeCell ref="H3:I3"/>
    <mergeCell ref="B4:C4"/>
    <mergeCell ref="H4:I4"/>
    <mergeCell ref="A8:A9"/>
    <mergeCell ref="B8:I9"/>
    <mergeCell ref="D15:F15"/>
    <mergeCell ref="G15:I15"/>
    <mergeCell ref="A14:E14"/>
    <mergeCell ref="F14:I14"/>
    <mergeCell ref="A10:A13"/>
    <mergeCell ref="B10:I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5"/>
  <sheetViews>
    <sheetView workbookViewId="0">
      <selection activeCell="Q33" sqref="Q33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80" t="s">
        <v>75</v>
      </c>
      <c r="B1" s="180"/>
      <c r="C1" s="180"/>
      <c r="D1" s="180"/>
      <c r="E1" s="180"/>
      <c r="F1" s="180"/>
      <c r="G1" s="180"/>
      <c r="H1" s="180"/>
      <c r="I1" s="180"/>
      <c r="J1" s="180"/>
      <c r="K1" s="44"/>
      <c r="L1" s="180" t="s">
        <v>32</v>
      </c>
      <c r="M1" s="180"/>
      <c r="N1" s="180"/>
      <c r="O1" s="180"/>
      <c r="P1" s="180"/>
      <c r="Q1" s="180"/>
      <c r="R1" s="180"/>
      <c r="S1" s="180"/>
      <c r="T1" s="180"/>
      <c r="U1" s="180"/>
      <c r="V1" s="44"/>
      <c r="W1" s="180" t="s">
        <v>147</v>
      </c>
      <c r="X1" s="180"/>
      <c r="Y1" s="180"/>
      <c r="Z1" s="180"/>
      <c r="AA1" s="180"/>
      <c r="AB1" s="180"/>
      <c r="AC1" s="180"/>
      <c r="AD1" s="180"/>
      <c r="AE1" s="180"/>
      <c r="AF1" s="180"/>
    </row>
    <row r="2" spans="1:32" ht="15" customHeight="1" thickTop="1" thickBot="1" x14ac:dyDescent="0.3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44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44"/>
      <c r="W2" s="180"/>
      <c r="X2" s="180"/>
      <c r="Y2" s="180"/>
      <c r="Z2" s="180"/>
      <c r="AA2" s="180"/>
      <c r="AB2" s="180"/>
      <c r="AC2" s="180"/>
      <c r="AD2" s="180"/>
      <c r="AE2" s="180"/>
      <c r="AF2" s="180"/>
    </row>
    <row r="3" spans="1:32" ht="15" thickTop="1" thickBot="1" x14ac:dyDescent="0.3">
      <c r="A3" s="57" t="s">
        <v>36</v>
      </c>
      <c r="B3" s="57" t="s">
        <v>25</v>
      </c>
      <c r="C3" s="57" t="s">
        <v>71</v>
      </c>
      <c r="D3" s="57" t="s">
        <v>72</v>
      </c>
      <c r="E3" s="57" t="s">
        <v>290</v>
      </c>
      <c r="F3" s="57" t="s">
        <v>291</v>
      </c>
      <c r="G3" s="57" t="s">
        <v>73</v>
      </c>
      <c r="H3" s="179" t="s">
        <v>74</v>
      </c>
      <c r="I3" s="179"/>
      <c r="J3" s="179"/>
      <c r="K3" s="44"/>
      <c r="L3" s="57" t="s">
        <v>36</v>
      </c>
      <c r="M3" s="57" t="s">
        <v>25</v>
      </c>
      <c r="N3" s="57" t="s">
        <v>71</v>
      </c>
      <c r="O3" s="57" t="s">
        <v>72</v>
      </c>
      <c r="P3" s="57" t="s">
        <v>290</v>
      </c>
      <c r="Q3" s="57" t="s">
        <v>291</v>
      </c>
      <c r="R3" s="57" t="s">
        <v>73</v>
      </c>
      <c r="S3" s="179" t="s">
        <v>74</v>
      </c>
      <c r="T3" s="179"/>
      <c r="U3" s="179"/>
      <c r="V3" s="44"/>
      <c r="W3" s="57" t="s">
        <v>36</v>
      </c>
      <c r="X3" s="57" t="s">
        <v>25</v>
      </c>
      <c r="Y3" s="57" t="s">
        <v>71</v>
      </c>
      <c r="Z3" s="57" t="s">
        <v>72</v>
      </c>
      <c r="AA3" s="57" t="s">
        <v>290</v>
      </c>
      <c r="AB3" s="57" t="s">
        <v>291</v>
      </c>
      <c r="AC3" s="57" t="s">
        <v>73</v>
      </c>
      <c r="AD3" s="179" t="s">
        <v>74</v>
      </c>
      <c r="AE3" s="179"/>
      <c r="AF3" s="179"/>
    </row>
    <row r="4" spans="1:32" ht="15" thickTop="1" thickBot="1" x14ac:dyDescent="0.3">
      <c r="A4" s="176" t="s">
        <v>12</v>
      </c>
      <c r="B4" s="164"/>
      <c r="C4" s="164"/>
      <c r="D4" s="164"/>
      <c r="E4" s="164"/>
      <c r="F4" s="164"/>
      <c r="G4" s="164"/>
      <c r="H4" s="164"/>
      <c r="I4" s="164"/>
      <c r="J4" s="165"/>
      <c r="L4" s="176" t="s">
        <v>349</v>
      </c>
      <c r="M4" s="164"/>
      <c r="N4" s="164"/>
      <c r="O4" s="164"/>
      <c r="P4" s="164"/>
      <c r="Q4" s="164"/>
      <c r="R4" s="164"/>
      <c r="S4" s="164"/>
      <c r="T4" s="164"/>
      <c r="U4" s="165"/>
      <c r="W4" s="55" t="s">
        <v>361</v>
      </c>
      <c r="X4" s="55" t="s">
        <v>144</v>
      </c>
      <c r="Y4" s="55">
        <f ca="1">LOOKUP(INDIRECT("rc[-1]",),INDIRECT("总表"&amp;"!A29:A34"),INDIRECT("总表"&amp;"!B29:B34"))</f>
        <v>30</v>
      </c>
      <c r="Z4" s="55">
        <v>30</v>
      </c>
      <c r="AA4" s="55"/>
      <c r="AB4" s="55"/>
      <c r="AC4" s="56">
        <f ca="1">IF(SUM(Y4:AA4)&lt;=50,SUM(Y4:AA4),IF(SUM(Y4:AA4)&lt;=80,(SUM(Y4:AA4)-50)*0.7+50,(SUM(Y4:AA4)-80)*0.4+71))+AB4</f>
        <v>57</v>
      </c>
      <c r="AD4" s="55">
        <v>0</v>
      </c>
      <c r="AE4" s="55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76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6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102</v>
      </c>
      <c r="M5" s="23" t="s">
        <v>52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6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5" t="s">
        <v>362</v>
      </c>
      <c r="X5" s="55" t="s">
        <v>144</v>
      </c>
      <c r="Y5" s="55">
        <f t="shared" ref="Y5:Y28" ca="1" si="3">LOOKUP(INDIRECT("rc[-1]",),INDIRECT("总表"&amp;"!A29:A34"),INDIRECT("总表"&amp;"!B29:B34"))</f>
        <v>30</v>
      </c>
      <c r="Z5" s="55">
        <v>30</v>
      </c>
      <c r="AA5" s="55"/>
      <c r="AB5" s="55"/>
      <c r="AC5" s="56">
        <f t="shared" ref="AC5:AC28" ca="1" si="4">IF(SUM(Y5:AA5)&lt;=50,SUM(Y5:AA5),IF(SUM(Y5:AA5)&lt;=80,(SUM(Y5:AA5)-50)*0.7+50,(SUM(Y5:AA5)-80)*0.4+71))+AB5</f>
        <v>57</v>
      </c>
      <c r="AD5" s="55">
        <v>0</v>
      </c>
      <c r="AE5" s="55" t="s">
        <v>18</v>
      </c>
      <c r="AF5" s="23">
        <f t="shared" si="0"/>
        <v>18</v>
      </c>
    </row>
    <row r="6" spans="1:32" ht="15" thickTop="1" thickBot="1" x14ac:dyDescent="0.3">
      <c r="A6" s="23" t="s">
        <v>77</v>
      </c>
      <c r="B6" s="23" t="s">
        <v>52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6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103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6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5"/>
      <c r="X6" s="55" t="s">
        <v>144</v>
      </c>
      <c r="Y6" s="55">
        <f t="shared" ca="1" si="3"/>
        <v>30</v>
      </c>
      <c r="Z6" s="55">
        <v>1</v>
      </c>
      <c r="AA6" s="55"/>
      <c r="AB6" s="55"/>
      <c r="AC6" s="56">
        <f t="shared" ca="1" si="4"/>
        <v>31</v>
      </c>
      <c r="AD6" s="55">
        <v>0</v>
      </c>
      <c r="AE6" s="55" t="s">
        <v>18</v>
      </c>
      <c r="AF6" s="23" t="str">
        <f t="shared" si="0"/>
        <v>6</v>
      </c>
    </row>
    <row r="7" spans="1:32" ht="15" thickTop="1" thickBot="1" x14ac:dyDescent="0.3">
      <c r="A7" s="23" t="s">
        <v>142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6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345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6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5"/>
      <c r="X7" s="55" t="s">
        <v>144</v>
      </c>
      <c r="Y7" s="55">
        <f t="shared" ca="1" si="3"/>
        <v>30</v>
      </c>
      <c r="Z7" s="55">
        <v>1</v>
      </c>
      <c r="AA7" s="55"/>
      <c r="AB7" s="55"/>
      <c r="AC7" s="56">
        <f t="shared" ca="1" si="4"/>
        <v>31</v>
      </c>
      <c r="AD7" s="55">
        <v>0</v>
      </c>
      <c r="AE7" s="55" t="s">
        <v>18</v>
      </c>
      <c r="AF7" s="23" t="str">
        <f t="shared" si="0"/>
        <v>6</v>
      </c>
    </row>
    <row r="8" spans="1:32" ht="15" thickTop="1" thickBot="1" x14ac:dyDescent="0.3">
      <c r="A8" s="176" t="s">
        <v>13</v>
      </c>
      <c r="B8" s="177"/>
      <c r="C8" s="177"/>
      <c r="D8" s="177"/>
      <c r="E8" s="177"/>
      <c r="F8" s="177"/>
      <c r="G8" s="177"/>
      <c r="H8" s="177"/>
      <c r="I8" s="177"/>
      <c r="J8" s="178"/>
      <c r="L8" s="55" t="s">
        <v>183</v>
      </c>
      <c r="M8" s="23" t="s">
        <v>63</v>
      </c>
      <c r="N8" s="23">
        <f t="shared" ca="1" si="7"/>
        <v>50</v>
      </c>
      <c r="O8" s="23">
        <v>1</v>
      </c>
      <c r="P8" s="23"/>
      <c r="Q8" s="23"/>
      <c r="R8" s="56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5"/>
      <c r="X8" s="55" t="s">
        <v>144</v>
      </c>
      <c r="Y8" s="55">
        <f t="shared" ca="1" si="3"/>
        <v>30</v>
      </c>
      <c r="Z8" s="55">
        <v>1</v>
      </c>
      <c r="AA8" s="55"/>
      <c r="AB8" s="55"/>
      <c r="AC8" s="56">
        <f t="shared" ca="1" si="4"/>
        <v>31</v>
      </c>
      <c r="AD8" s="55">
        <v>0</v>
      </c>
      <c r="AE8" s="55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81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6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182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6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5"/>
      <c r="X9" s="55" t="s">
        <v>144</v>
      </c>
      <c r="Y9" s="55">
        <f t="shared" ca="1" si="3"/>
        <v>30</v>
      </c>
      <c r="Z9" s="55">
        <v>1</v>
      </c>
      <c r="AA9" s="55"/>
      <c r="AB9" s="55"/>
      <c r="AC9" s="56">
        <f t="shared" ca="1" si="4"/>
        <v>31</v>
      </c>
      <c r="AD9" s="55">
        <v>0</v>
      </c>
      <c r="AE9" s="55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82</v>
      </c>
      <c r="B10" s="23" t="s">
        <v>63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6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76" t="s">
        <v>350</v>
      </c>
      <c r="M10" s="177"/>
      <c r="N10" s="177"/>
      <c r="O10" s="177"/>
      <c r="P10" s="177"/>
      <c r="Q10" s="177"/>
      <c r="R10" s="177"/>
      <c r="S10" s="177"/>
      <c r="T10" s="177"/>
      <c r="U10" s="178"/>
      <c r="W10" s="55"/>
      <c r="X10" s="55" t="s">
        <v>144</v>
      </c>
      <c r="Y10" s="55">
        <f t="shared" ca="1" si="3"/>
        <v>30</v>
      </c>
      <c r="Z10" s="55">
        <v>1</v>
      </c>
      <c r="AA10" s="55"/>
      <c r="AB10" s="55"/>
      <c r="AC10" s="56">
        <f t="shared" ca="1" si="4"/>
        <v>31</v>
      </c>
      <c r="AD10" s="55">
        <v>0</v>
      </c>
      <c r="AE10" s="55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83</v>
      </c>
      <c r="B11" s="23" t="s">
        <v>63</v>
      </c>
      <c r="C11" s="23">
        <f t="shared" ca="1" si="9"/>
        <v>50</v>
      </c>
      <c r="D11" s="23">
        <v>1</v>
      </c>
      <c r="E11" s="23"/>
      <c r="F11" s="23"/>
      <c r="G11" s="56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100</v>
      </c>
      <c r="M11" s="23" t="s">
        <v>52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6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5"/>
      <c r="X11" s="55" t="s">
        <v>144</v>
      </c>
      <c r="Y11" s="55">
        <f t="shared" ca="1" si="3"/>
        <v>30</v>
      </c>
      <c r="Z11" s="55">
        <v>1</v>
      </c>
      <c r="AA11" s="55"/>
      <c r="AB11" s="55"/>
      <c r="AC11" s="56">
        <f t="shared" ca="1" si="4"/>
        <v>31</v>
      </c>
      <c r="AD11" s="55">
        <v>0</v>
      </c>
      <c r="AE11" s="55" t="s">
        <v>18</v>
      </c>
      <c r="AF11" s="23" t="str">
        <f t="shared" si="0"/>
        <v>6</v>
      </c>
    </row>
    <row r="12" spans="1:32" ht="15" thickTop="1" thickBot="1" x14ac:dyDescent="0.3">
      <c r="A12" s="23" t="s">
        <v>84</v>
      </c>
      <c r="B12" s="23" t="s">
        <v>63</v>
      </c>
      <c r="C12" s="23">
        <f t="shared" ca="1" si="9"/>
        <v>50</v>
      </c>
      <c r="D12" s="23">
        <v>1</v>
      </c>
      <c r="E12" s="23"/>
      <c r="F12" s="23"/>
      <c r="G12" s="56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155</v>
      </c>
      <c r="M12" s="23" t="s">
        <v>63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6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5"/>
      <c r="X12" s="55" t="s">
        <v>144</v>
      </c>
      <c r="Y12" s="55">
        <f t="shared" ca="1" si="3"/>
        <v>30</v>
      </c>
      <c r="Z12" s="55">
        <v>1</v>
      </c>
      <c r="AA12" s="55"/>
      <c r="AB12" s="55"/>
      <c r="AC12" s="56">
        <f t="shared" ca="1" si="4"/>
        <v>31</v>
      </c>
      <c r="AD12" s="55">
        <v>0</v>
      </c>
      <c r="AE12" s="55" t="s">
        <v>18</v>
      </c>
      <c r="AF12" s="23" t="str">
        <f t="shared" si="0"/>
        <v>6</v>
      </c>
    </row>
    <row r="13" spans="1:32" ht="15" thickTop="1" thickBot="1" x14ac:dyDescent="0.3">
      <c r="A13" s="23" t="s">
        <v>168</v>
      </c>
      <c r="B13" s="23" t="s">
        <v>63</v>
      </c>
      <c r="C13" s="23">
        <f t="shared" ca="1" si="9"/>
        <v>50</v>
      </c>
      <c r="D13" s="23">
        <v>1</v>
      </c>
      <c r="E13" s="23"/>
      <c r="F13" s="23"/>
      <c r="G13" s="56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101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6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5"/>
      <c r="X13" s="55" t="s">
        <v>144</v>
      </c>
      <c r="Y13" s="55">
        <f t="shared" ca="1" si="3"/>
        <v>30</v>
      </c>
      <c r="Z13" s="55">
        <v>1</v>
      </c>
      <c r="AA13" s="55"/>
      <c r="AB13" s="55"/>
      <c r="AC13" s="56">
        <f t="shared" ca="1" si="4"/>
        <v>31</v>
      </c>
      <c r="AD13" s="55">
        <v>0</v>
      </c>
      <c r="AE13" s="55" t="s">
        <v>18</v>
      </c>
      <c r="AF13" s="23" t="str">
        <f t="shared" si="0"/>
        <v>6</v>
      </c>
    </row>
    <row r="14" spans="1:32" ht="15" thickTop="1" thickBot="1" x14ac:dyDescent="0.3">
      <c r="A14" s="176" t="s">
        <v>14</v>
      </c>
      <c r="B14" s="177"/>
      <c r="C14" s="177"/>
      <c r="D14" s="177"/>
      <c r="E14" s="177"/>
      <c r="F14" s="177"/>
      <c r="G14" s="177"/>
      <c r="H14" s="177"/>
      <c r="I14" s="177"/>
      <c r="J14" s="178"/>
      <c r="L14" s="23" t="s">
        <v>218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6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5"/>
      <c r="X14" s="55" t="s">
        <v>144</v>
      </c>
      <c r="Y14" s="55">
        <f t="shared" ca="1" si="3"/>
        <v>30</v>
      </c>
      <c r="Z14" s="55">
        <v>1</v>
      </c>
      <c r="AA14" s="55"/>
      <c r="AB14" s="55"/>
      <c r="AC14" s="56">
        <f t="shared" ca="1" si="4"/>
        <v>31</v>
      </c>
      <c r="AD14" s="55">
        <v>0</v>
      </c>
      <c r="AE14" s="55" t="s">
        <v>18</v>
      </c>
      <c r="AF14" s="23" t="str">
        <f t="shared" si="0"/>
        <v>6</v>
      </c>
    </row>
    <row r="15" spans="1:32" ht="15" thickTop="1" thickBot="1" x14ac:dyDescent="0.3">
      <c r="A15" s="23" t="s">
        <v>86</v>
      </c>
      <c r="B15" s="23" t="s">
        <v>348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6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76" t="s">
        <v>351</v>
      </c>
      <c r="M15" s="177"/>
      <c r="N15" s="177"/>
      <c r="O15" s="177"/>
      <c r="P15" s="177"/>
      <c r="Q15" s="177"/>
      <c r="R15" s="177"/>
      <c r="S15" s="177"/>
      <c r="T15" s="177"/>
      <c r="U15" s="178"/>
      <c r="W15" s="55"/>
      <c r="X15" s="55" t="s">
        <v>144</v>
      </c>
      <c r="Y15" s="55">
        <f t="shared" ca="1" si="3"/>
        <v>30</v>
      </c>
      <c r="Z15" s="55">
        <v>1</v>
      </c>
      <c r="AA15" s="55"/>
      <c r="AB15" s="55"/>
      <c r="AC15" s="56">
        <f t="shared" ca="1" si="4"/>
        <v>31</v>
      </c>
      <c r="AD15" s="55">
        <v>0</v>
      </c>
      <c r="AE15" s="55" t="s">
        <v>18</v>
      </c>
      <c r="AF15" s="23" t="str">
        <f t="shared" si="0"/>
        <v>6</v>
      </c>
    </row>
    <row r="16" spans="1:32" ht="15" thickTop="1" thickBot="1" x14ac:dyDescent="0.3">
      <c r="A16" s="23" t="s">
        <v>87</v>
      </c>
      <c r="B16" s="23" t="s">
        <v>348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6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94</v>
      </c>
      <c r="M16" s="23" t="s">
        <v>63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6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5"/>
      <c r="X16" s="55" t="s">
        <v>144</v>
      </c>
      <c r="Y16" s="55">
        <f t="shared" ca="1" si="3"/>
        <v>30</v>
      </c>
      <c r="Z16" s="55">
        <v>1</v>
      </c>
      <c r="AA16" s="55"/>
      <c r="AB16" s="55"/>
      <c r="AC16" s="56">
        <f t="shared" ca="1" si="4"/>
        <v>31</v>
      </c>
      <c r="AD16" s="55">
        <v>0</v>
      </c>
      <c r="AE16" s="55" t="s">
        <v>18</v>
      </c>
      <c r="AF16" s="23" t="str">
        <f t="shared" si="0"/>
        <v>6</v>
      </c>
    </row>
    <row r="17" spans="1:32" ht="15" thickTop="1" thickBot="1" x14ac:dyDescent="0.3">
      <c r="A17" s="23" t="s">
        <v>88</v>
      </c>
      <c r="B17" s="23" t="s">
        <v>348</v>
      </c>
      <c r="C17" s="23">
        <f t="shared" ca="1" si="14"/>
        <v>40</v>
      </c>
      <c r="D17" s="23">
        <v>30</v>
      </c>
      <c r="E17" s="23"/>
      <c r="F17" s="23"/>
      <c r="G17" s="56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95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6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5"/>
      <c r="X17" s="55" t="s">
        <v>144</v>
      </c>
      <c r="Y17" s="55">
        <f t="shared" ca="1" si="3"/>
        <v>30</v>
      </c>
      <c r="Z17" s="55">
        <v>1</v>
      </c>
      <c r="AA17" s="55"/>
      <c r="AB17" s="55"/>
      <c r="AC17" s="56">
        <f t="shared" ca="1" si="4"/>
        <v>31</v>
      </c>
      <c r="AD17" s="55">
        <v>0</v>
      </c>
      <c r="AE17" s="55" t="s">
        <v>18</v>
      </c>
      <c r="AF17" s="23" t="str">
        <f t="shared" si="0"/>
        <v>6</v>
      </c>
    </row>
    <row r="18" spans="1:32" ht="15" thickTop="1" thickBot="1" x14ac:dyDescent="0.3">
      <c r="A18" s="23" t="s">
        <v>89</v>
      </c>
      <c r="B18" s="23" t="s">
        <v>348</v>
      </c>
      <c r="C18" s="23">
        <f t="shared" ca="1" si="14"/>
        <v>40</v>
      </c>
      <c r="D18" s="23">
        <v>1</v>
      </c>
      <c r="E18" s="23"/>
      <c r="F18" s="23"/>
      <c r="G18" s="56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93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6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5"/>
      <c r="X18" s="55" t="s">
        <v>144</v>
      </c>
      <c r="Y18" s="55">
        <f t="shared" ca="1" si="3"/>
        <v>30</v>
      </c>
      <c r="Z18" s="55">
        <v>1</v>
      </c>
      <c r="AA18" s="55"/>
      <c r="AB18" s="55"/>
      <c r="AC18" s="56">
        <f t="shared" ca="1" si="4"/>
        <v>31</v>
      </c>
      <c r="AD18" s="55">
        <v>0</v>
      </c>
      <c r="AE18" s="55" t="s">
        <v>18</v>
      </c>
      <c r="AF18" s="23" t="str">
        <f t="shared" si="0"/>
        <v>6</v>
      </c>
    </row>
    <row r="19" spans="1:32" ht="15" thickTop="1" thickBot="1" x14ac:dyDescent="0.3">
      <c r="A19" s="176" t="s">
        <v>15</v>
      </c>
      <c r="B19" s="177"/>
      <c r="C19" s="177"/>
      <c r="D19" s="177"/>
      <c r="E19" s="177"/>
      <c r="F19" s="177"/>
      <c r="G19" s="177"/>
      <c r="H19" s="177"/>
      <c r="I19" s="177"/>
      <c r="J19" s="178"/>
      <c r="L19" s="23" t="s">
        <v>105</v>
      </c>
      <c r="M19" s="23" t="s">
        <v>52</v>
      </c>
      <c r="N19" s="23">
        <f t="shared" ca="1" si="16"/>
        <v>50</v>
      </c>
      <c r="O19" s="23">
        <v>1</v>
      </c>
      <c r="P19" s="23"/>
      <c r="Q19" s="23"/>
      <c r="R19" s="56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5"/>
      <c r="X19" s="55" t="s">
        <v>144</v>
      </c>
      <c r="Y19" s="55">
        <f t="shared" ca="1" si="3"/>
        <v>30</v>
      </c>
      <c r="Z19" s="55">
        <v>1</v>
      </c>
      <c r="AA19" s="55"/>
      <c r="AB19" s="55"/>
      <c r="AC19" s="56">
        <f t="shared" ca="1" si="4"/>
        <v>31</v>
      </c>
      <c r="AD19" s="55">
        <v>0</v>
      </c>
      <c r="AE19" s="55" t="s">
        <v>18</v>
      </c>
      <c r="AF19" s="23" t="str">
        <f t="shared" si="0"/>
        <v>6</v>
      </c>
    </row>
    <row r="20" spans="1:32" ht="15" thickTop="1" thickBot="1" x14ac:dyDescent="0.3">
      <c r="A20" s="23" t="s">
        <v>166</v>
      </c>
      <c r="B20" s="23" t="s">
        <v>144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6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346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6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5"/>
      <c r="X20" s="55" t="s">
        <v>144</v>
      </c>
      <c r="Y20" s="55">
        <f t="shared" ca="1" si="3"/>
        <v>30</v>
      </c>
      <c r="Z20" s="55">
        <v>1</v>
      </c>
      <c r="AA20" s="55"/>
      <c r="AB20" s="55"/>
      <c r="AC20" s="56">
        <f t="shared" ca="1" si="4"/>
        <v>31</v>
      </c>
      <c r="AD20" s="55">
        <v>0</v>
      </c>
      <c r="AE20" s="55" t="s">
        <v>18</v>
      </c>
      <c r="AF20" s="23" t="str">
        <f t="shared" si="0"/>
        <v>6</v>
      </c>
    </row>
    <row r="21" spans="1:32" ht="15" thickTop="1" thickBot="1" x14ac:dyDescent="0.3">
      <c r="A21" s="23" t="s">
        <v>167</v>
      </c>
      <c r="B21" s="23" t="s">
        <v>144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6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76" t="s">
        <v>352</v>
      </c>
      <c r="M21" s="177"/>
      <c r="N21" s="177"/>
      <c r="O21" s="177"/>
      <c r="P21" s="177"/>
      <c r="Q21" s="177"/>
      <c r="R21" s="177"/>
      <c r="S21" s="177"/>
      <c r="T21" s="177"/>
      <c r="U21" s="178"/>
      <c r="W21" s="55"/>
      <c r="X21" s="55" t="s">
        <v>144</v>
      </c>
      <c r="Y21" s="55">
        <f t="shared" ca="1" si="3"/>
        <v>30</v>
      </c>
      <c r="Z21" s="55">
        <v>1</v>
      </c>
      <c r="AA21" s="55"/>
      <c r="AB21" s="55"/>
      <c r="AC21" s="56">
        <f t="shared" ca="1" si="4"/>
        <v>31</v>
      </c>
      <c r="AD21" s="55">
        <v>0</v>
      </c>
      <c r="AE21" s="55" t="s">
        <v>18</v>
      </c>
      <c r="AF21" s="23" t="str">
        <f t="shared" si="0"/>
        <v>6</v>
      </c>
    </row>
    <row r="22" spans="1:32" ht="15" thickTop="1" thickBot="1" x14ac:dyDescent="0.3">
      <c r="A22" s="23" t="s">
        <v>90</v>
      </c>
      <c r="B22" s="23" t="s">
        <v>144</v>
      </c>
      <c r="C22" s="23">
        <f t="shared" ca="1" si="19"/>
        <v>30</v>
      </c>
      <c r="D22" s="23">
        <v>1</v>
      </c>
      <c r="E22" s="23"/>
      <c r="F22" s="23"/>
      <c r="G22" s="56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55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6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5" t="s">
        <v>144</v>
      </c>
      <c r="Y22" s="55">
        <f t="shared" ca="1" si="3"/>
        <v>30</v>
      </c>
      <c r="Z22" s="55">
        <v>1</v>
      </c>
      <c r="AA22" s="55"/>
      <c r="AB22" s="55"/>
      <c r="AC22" s="56">
        <f t="shared" ca="1" si="4"/>
        <v>31</v>
      </c>
      <c r="AD22" s="55">
        <v>0</v>
      </c>
      <c r="AE22" s="55" t="s">
        <v>18</v>
      </c>
      <c r="AF22" s="23" t="str">
        <f t="shared" si="0"/>
        <v>6</v>
      </c>
    </row>
    <row r="23" spans="1:32" ht="15" thickTop="1" thickBot="1" x14ac:dyDescent="0.3">
      <c r="A23" s="23" t="s">
        <v>143</v>
      </c>
      <c r="B23" s="23" t="s">
        <v>144</v>
      </c>
      <c r="C23" s="23">
        <f t="shared" ca="1" si="19"/>
        <v>30</v>
      </c>
      <c r="D23" s="23">
        <v>1</v>
      </c>
      <c r="E23" s="23"/>
      <c r="F23" s="23"/>
      <c r="G23" s="56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184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6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5"/>
      <c r="X23" s="55" t="s">
        <v>144</v>
      </c>
      <c r="Y23" s="55">
        <f t="shared" ca="1" si="3"/>
        <v>30</v>
      </c>
      <c r="Z23" s="55">
        <v>1</v>
      </c>
      <c r="AA23" s="55"/>
      <c r="AB23" s="55"/>
      <c r="AC23" s="56">
        <f t="shared" ca="1" si="4"/>
        <v>31</v>
      </c>
      <c r="AD23" s="55">
        <v>0</v>
      </c>
      <c r="AE23" s="55" t="s">
        <v>18</v>
      </c>
      <c r="AF23" s="23" t="str">
        <f t="shared" si="0"/>
        <v>6</v>
      </c>
    </row>
    <row r="24" spans="1:32" ht="15" thickTop="1" thickBot="1" x14ac:dyDescent="0.3">
      <c r="A24" s="23" t="s">
        <v>91</v>
      </c>
      <c r="B24" s="23" t="s">
        <v>144</v>
      </c>
      <c r="C24" s="23">
        <f t="shared" ca="1" si="19"/>
        <v>30</v>
      </c>
      <c r="D24" s="23">
        <v>1</v>
      </c>
      <c r="E24" s="23"/>
      <c r="F24" s="23"/>
      <c r="G24" s="56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97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6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5"/>
      <c r="X24" s="55" t="s">
        <v>144</v>
      </c>
      <c r="Y24" s="55">
        <f t="shared" ca="1" si="3"/>
        <v>30</v>
      </c>
      <c r="Z24" s="55">
        <v>1</v>
      </c>
      <c r="AA24" s="55"/>
      <c r="AB24" s="55"/>
      <c r="AC24" s="56">
        <f t="shared" ca="1" si="4"/>
        <v>31</v>
      </c>
      <c r="AD24" s="55">
        <v>0</v>
      </c>
      <c r="AE24" s="55" t="s">
        <v>18</v>
      </c>
      <c r="AF24" s="23" t="str">
        <f t="shared" si="0"/>
        <v>6</v>
      </c>
    </row>
    <row r="25" spans="1:32" ht="15" thickTop="1" thickBot="1" x14ac:dyDescent="0.3">
      <c r="A25" s="23" t="s">
        <v>92</v>
      </c>
      <c r="B25" s="23" t="s">
        <v>144</v>
      </c>
      <c r="C25" s="23">
        <f t="shared" ca="1" si="19"/>
        <v>30</v>
      </c>
      <c r="D25" s="23">
        <v>1</v>
      </c>
      <c r="E25" s="23"/>
      <c r="F25" s="23"/>
      <c r="G25" s="56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353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6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5"/>
      <c r="X25" s="55" t="s">
        <v>144</v>
      </c>
      <c r="Y25" s="55">
        <f t="shared" ca="1" si="3"/>
        <v>30</v>
      </c>
      <c r="Z25" s="55">
        <v>1</v>
      </c>
      <c r="AA25" s="55"/>
      <c r="AB25" s="55"/>
      <c r="AC25" s="56">
        <f t="shared" ca="1" si="4"/>
        <v>31</v>
      </c>
      <c r="AD25" s="55">
        <v>0</v>
      </c>
      <c r="AE25" s="55" t="s">
        <v>18</v>
      </c>
      <c r="AF25" s="23" t="str">
        <f t="shared" si="0"/>
        <v>6</v>
      </c>
    </row>
    <row r="26" spans="1:32" ht="15" thickTop="1" thickBot="1" x14ac:dyDescent="0.3">
      <c r="A26" s="176" t="s">
        <v>16</v>
      </c>
      <c r="B26" s="177"/>
      <c r="C26" s="177"/>
      <c r="D26" s="177"/>
      <c r="E26" s="177"/>
      <c r="F26" s="177"/>
      <c r="G26" s="177"/>
      <c r="H26" s="177"/>
      <c r="I26" s="177"/>
      <c r="J26" s="178"/>
      <c r="L26" s="176" t="s">
        <v>354</v>
      </c>
      <c r="M26" s="177"/>
      <c r="N26" s="177"/>
      <c r="O26" s="177"/>
      <c r="P26" s="177"/>
      <c r="Q26" s="177"/>
      <c r="R26" s="177"/>
      <c r="S26" s="177"/>
      <c r="T26" s="177"/>
      <c r="U26" s="178"/>
      <c r="W26" s="55"/>
      <c r="X26" s="55" t="s">
        <v>144</v>
      </c>
      <c r="Y26" s="55">
        <f t="shared" ca="1" si="3"/>
        <v>30</v>
      </c>
      <c r="Z26" s="55">
        <v>1</v>
      </c>
      <c r="AA26" s="55"/>
      <c r="AB26" s="55"/>
      <c r="AC26" s="56">
        <f t="shared" ca="1" si="4"/>
        <v>31</v>
      </c>
      <c r="AD26" s="55">
        <v>0</v>
      </c>
      <c r="AE26" s="55" t="s">
        <v>18</v>
      </c>
      <c r="AF26" s="23" t="str">
        <f t="shared" si="0"/>
        <v>6</v>
      </c>
    </row>
    <row r="27" spans="1:32" ht="15" thickTop="1" thickBot="1" x14ac:dyDescent="0.3">
      <c r="A27" s="23" t="s">
        <v>78</v>
      </c>
      <c r="B27" s="23" t="s">
        <v>347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6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181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6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5"/>
      <c r="X27" s="55" t="s">
        <v>144</v>
      </c>
      <c r="Y27" s="55">
        <f t="shared" ca="1" si="3"/>
        <v>30</v>
      </c>
      <c r="Z27" s="55">
        <v>1</v>
      </c>
      <c r="AA27" s="55"/>
      <c r="AB27" s="55"/>
      <c r="AC27" s="56">
        <f t="shared" ca="1" si="4"/>
        <v>31</v>
      </c>
      <c r="AD27" s="55">
        <v>0</v>
      </c>
      <c r="AE27" s="55" t="s">
        <v>18</v>
      </c>
      <c r="AF27" s="23" t="str">
        <f t="shared" si="0"/>
        <v>6</v>
      </c>
    </row>
    <row r="28" spans="1:32" ht="15" thickTop="1" thickBot="1" x14ac:dyDescent="0.3">
      <c r="A28" s="23" t="s">
        <v>79</v>
      </c>
      <c r="B28" s="23" t="s">
        <v>347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6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99</v>
      </c>
      <c r="M28" s="23" t="s">
        <v>52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6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5"/>
      <c r="X28" s="55" t="s">
        <v>144</v>
      </c>
      <c r="Y28" s="55">
        <f t="shared" ca="1" si="3"/>
        <v>30</v>
      </c>
      <c r="Z28" s="55">
        <v>1</v>
      </c>
      <c r="AA28" s="55"/>
      <c r="AB28" s="55"/>
      <c r="AC28" s="56">
        <f t="shared" ca="1" si="4"/>
        <v>31</v>
      </c>
      <c r="AD28" s="55">
        <v>0</v>
      </c>
      <c r="AE28" s="55" t="s">
        <v>18</v>
      </c>
      <c r="AF28" s="23" t="str">
        <f t="shared" si="0"/>
        <v>6</v>
      </c>
    </row>
    <row r="29" spans="1:32" ht="15" thickTop="1" thickBot="1" x14ac:dyDescent="0.3">
      <c r="A29" s="23" t="s">
        <v>80</v>
      </c>
      <c r="B29" s="23" t="s">
        <v>347</v>
      </c>
      <c r="C29" s="23">
        <f t="shared" ca="1" si="23"/>
        <v>40</v>
      </c>
      <c r="D29" s="23">
        <v>1</v>
      </c>
      <c r="E29" s="23"/>
      <c r="F29" s="23"/>
      <c r="G29" s="56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98</v>
      </c>
      <c r="M29" s="23" t="s">
        <v>52</v>
      </c>
      <c r="N29" s="23">
        <f t="shared" ca="1" si="25"/>
        <v>50</v>
      </c>
      <c r="O29" s="23">
        <v>1</v>
      </c>
      <c r="P29" s="23"/>
      <c r="Q29" s="23"/>
      <c r="R29" s="56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76" t="s">
        <v>17</v>
      </c>
      <c r="B30" s="177"/>
      <c r="C30" s="177"/>
      <c r="D30" s="177"/>
      <c r="E30" s="177"/>
      <c r="F30" s="177"/>
      <c r="G30" s="177"/>
      <c r="H30" s="177"/>
      <c r="I30" s="177"/>
      <c r="J30" s="178"/>
      <c r="L30" s="23" t="s">
        <v>96</v>
      </c>
      <c r="M30" s="23" t="s">
        <v>52</v>
      </c>
      <c r="N30" s="23">
        <f t="shared" ca="1" si="25"/>
        <v>50</v>
      </c>
      <c r="O30" s="23">
        <v>1</v>
      </c>
      <c r="P30" s="23"/>
      <c r="Q30" s="23"/>
      <c r="R30" s="56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145</v>
      </c>
      <c r="B31" s="23" t="s">
        <v>146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6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76" t="s">
        <v>398</v>
      </c>
      <c r="M31" s="177"/>
      <c r="N31" s="177"/>
      <c r="O31" s="177"/>
      <c r="P31" s="177"/>
      <c r="Q31" s="177"/>
      <c r="R31" s="177"/>
      <c r="S31" s="177"/>
      <c r="T31" s="177"/>
      <c r="U31" s="178"/>
    </row>
    <row r="32" spans="1:32" ht="15" thickTop="1" thickBot="1" x14ac:dyDescent="0.3">
      <c r="A32" s="23" t="s">
        <v>85</v>
      </c>
      <c r="B32" s="23" t="s">
        <v>146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6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399</v>
      </c>
      <c r="M32" s="23" t="s">
        <v>52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6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spans="12:21" ht="15" thickTop="1" thickBot="1" x14ac:dyDescent="0.3">
      <c r="L33" s="23" t="s">
        <v>400</v>
      </c>
      <c r="M33" s="23" t="s">
        <v>52</v>
      </c>
      <c r="N33" s="23">
        <f ca="1">LOOKUP(INDIRECT("rc[-1]",),INDIRECT("总表"&amp;"!A29:A34"),INDIRECT("总表"&amp;"!B29:B34"))</f>
        <v>50</v>
      </c>
      <c r="O33" s="23">
        <v>1</v>
      </c>
      <c r="P33" s="23"/>
      <c r="Q33" s="23"/>
      <c r="R33" s="56">
        <f ca="1">IF(SUM(N33:P33)&lt;=50,SUM(N33:P33),IF(SUM(N33:P33)&lt;=80,(SUM(N33:P33)-50)*0.7+50,(SUM(N33:P33)-80)*0.4+71))+Q33</f>
        <v>50.7</v>
      </c>
      <c r="S33" s="23">
        <v>0</v>
      </c>
      <c r="T33" s="23" t="s">
        <v>18</v>
      </c>
      <c r="U33" s="23" t="str">
        <f t="shared" ref="U33:U34" si="27">IF(O33&lt;10,"6",IF(O33&lt;20,"9",IF(O33&lt;30,"12",18)))</f>
        <v>6</v>
      </c>
    </row>
    <row r="34" spans="12:21" ht="15" thickTop="1" thickBot="1" x14ac:dyDescent="0.3">
      <c r="L34" s="23" t="s">
        <v>104</v>
      </c>
      <c r="M34" s="23" t="s">
        <v>52</v>
      </c>
      <c r="N34" s="23">
        <f ca="1">LOOKUP(INDIRECT("rc[-1]",),INDIRECT("总表"&amp;"!A29:A34"),INDIRECT("总表"&amp;"!B29:B34"))</f>
        <v>50</v>
      </c>
      <c r="O34" s="23">
        <v>1</v>
      </c>
      <c r="P34" s="23"/>
      <c r="Q34" s="23"/>
      <c r="R34" s="56">
        <f ca="1">IF(SUM(N34:P34)&lt;=50,SUM(N34:P34),IF(SUM(N34:P34)&lt;=80,(SUM(N34:P34)-50)*0.7+50,(SUM(N34:P34)-80)*0.4+71))+Q34</f>
        <v>50.7</v>
      </c>
      <c r="S34" s="23">
        <v>0</v>
      </c>
      <c r="T34" s="23" t="s">
        <v>18</v>
      </c>
      <c r="U34" s="23" t="str">
        <f t="shared" si="27"/>
        <v>6</v>
      </c>
    </row>
    <row r="35" spans="12:21" ht="14.4" thickTop="1" x14ac:dyDescent="0.25"/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18">
    <mergeCell ref="S3:U3"/>
    <mergeCell ref="A1:J2"/>
    <mergeCell ref="H3:J3"/>
    <mergeCell ref="W1:AF2"/>
    <mergeCell ref="AD3:AF3"/>
    <mergeCell ref="L1:U2"/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D16" sqref="D16:G17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1" t="s">
        <v>323</v>
      </c>
      <c r="B1" s="181"/>
      <c r="C1" s="181"/>
      <c r="D1" s="181"/>
      <c r="E1" s="181"/>
      <c r="F1" s="181"/>
      <c r="G1" s="181"/>
    </row>
    <row r="2" spans="1:22" ht="20.399999999999999" customHeight="1" thickTop="1" thickBot="1" x14ac:dyDescent="0.3">
      <c r="A2" s="181"/>
      <c r="B2" s="181"/>
      <c r="C2" s="181"/>
      <c r="D2" s="181"/>
      <c r="E2" s="181"/>
      <c r="F2" s="181"/>
      <c r="G2" s="181"/>
    </row>
    <row r="3" spans="1:22" ht="20.399999999999999" customHeight="1" thickTop="1" thickBot="1" x14ac:dyDescent="0.3">
      <c r="A3" s="151" t="s">
        <v>224</v>
      </c>
      <c r="B3" s="153"/>
      <c r="C3" s="151" cm="1">
        <f t="array" aca="1" ref="C3" ca="1">INT(INDIRECT("各种技能"&amp;"!G21")/8)</f>
        <v>3</v>
      </c>
      <c r="D3" s="152"/>
      <c r="E3" s="152"/>
      <c r="F3" s="152"/>
      <c r="G3" s="153"/>
    </row>
    <row r="4" spans="1:22" ht="20.399999999999999" customHeight="1" thickTop="1" thickBot="1" x14ac:dyDescent="0.3">
      <c r="A4" s="25" t="s">
        <v>36</v>
      </c>
      <c r="B4" s="25" t="s">
        <v>115</v>
      </c>
      <c r="C4" s="151" t="s">
        <v>240</v>
      </c>
      <c r="D4" s="152"/>
      <c r="E4" s="152"/>
      <c r="F4" s="152"/>
      <c r="G4" s="153"/>
      <c r="H4" s="151" t="s">
        <v>241</v>
      </c>
      <c r="I4" s="152"/>
      <c r="J4" s="152"/>
      <c r="K4" s="152"/>
      <c r="L4" s="153"/>
      <c r="M4" s="151" t="s">
        <v>242</v>
      </c>
      <c r="N4" s="152"/>
      <c r="O4" s="152"/>
      <c r="P4" s="152"/>
      <c r="Q4" s="153"/>
      <c r="R4" s="151" t="s">
        <v>243</v>
      </c>
      <c r="S4" s="152"/>
      <c r="T4" s="152"/>
      <c r="U4" s="152"/>
      <c r="V4" s="153"/>
    </row>
    <row r="5" spans="1:22" ht="20.399999999999999" customHeight="1" thickTop="1" thickBot="1" x14ac:dyDescent="0.3">
      <c r="A5" s="137" t="s">
        <v>225</v>
      </c>
      <c r="B5" s="137" t="s">
        <v>232</v>
      </c>
      <c r="C5" s="182" t="s">
        <v>233</v>
      </c>
      <c r="D5" s="183"/>
      <c r="E5" s="183"/>
      <c r="F5" s="183"/>
      <c r="G5" s="184"/>
      <c r="H5" s="182" t="s">
        <v>253</v>
      </c>
      <c r="I5" s="183"/>
      <c r="J5" s="183"/>
      <c r="K5" s="183"/>
      <c r="L5" s="184"/>
      <c r="M5" s="182" t="s">
        <v>254</v>
      </c>
      <c r="N5" s="183"/>
      <c r="O5" s="183"/>
      <c r="P5" s="183"/>
      <c r="Q5" s="184"/>
      <c r="R5" s="182" t="s">
        <v>255</v>
      </c>
      <c r="S5" s="183"/>
      <c r="T5" s="183"/>
      <c r="U5" s="183"/>
      <c r="V5" s="184"/>
    </row>
    <row r="6" spans="1:22" ht="20.399999999999999" customHeight="1" thickTop="1" thickBot="1" x14ac:dyDescent="0.3">
      <c r="A6" s="137"/>
      <c r="B6" s="137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37" t="s">
        <v>226</v>
      </c>
      <c r="B7" s="137" t="s">
        <v>232</v>
      </c>
      <c r="C7" s="182" t="s">
        <v>234</v>
      </c>
      <c r="D7" s="183" t="s">
        <v>172</v>
      </c>
      <c r="E7" s="183"/>
      <c r="F7" s="183"/>
      <c r="G7" s="184"/>
      <c r="H7" s="182" t="s">
        <v>244</v>
      </c>
      <c r="I7" s="183"/>
      <c r="J7" s="183"/>
      <c r="K7" s="183"/>
      <c r="L7" s="184"/>
      <c r="M7" s="182" t="s">
        <v>245</v>
      </c>
      <c r="N7" s="183"/>
      <c r="O7" s="183"/>
      <c r="P7" s="183"/>
      <c r="Q7" s="184"/>
      <c r="R7" s="182" t="s">
        <v>246</v>
      </c>
      <c r="S7" s="183"/>
      <c r="T7" s="183"/>
      <c r="U7" s="183"/>
      <c r="V7" s="184"/>
    </row>
    <row r="8" spans="1:22" ht="20.399999999999999" customHeight="1" thickTop="1" thickBot="1" x14ac:dyDescent="0.3">
      <c r="A8" s="137"/>
      <c r="B8" s="137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37" t="s">
        <v>227</v>
      </c>
      <c r="B9" s="137" t="s">
        <v>232</v>
      </c>
      <c r="C9" s="182" t="s">
        <v>235</v>
      </c>
      <c r="D9" s="183"/>
      <c r="E9" s="183"/>
      <c r="F9" s="183"/>
      <c r="G9" s="184"/>
      <c r="H9" s="182" t="s">
        <v>247</v>
      </c>
      <c r="I9" s="183"/>
      <c r="J9" s="183"/>
      <c r="K9" s="183"/>
      <c r="L9" s="184"/>
      <c r="M9" s="182" t="s">
        <v>256</v>
      </c>
      <c r="N9" s="183"/>
      <c r="O9" s="183"/>
      <c r="P9" s="183"/>
      <c r="Q9" s="184"/>
      <c r="R9" s="182" t="s">
        <v>248</v>
      </c>
      <c r="S9" s="183"/>
      <c r="T9" s="183"/>
      <c r="U9" s="183"/>
      <c r="V9" s="184"/>
    </row>
    <row r="10" spans="1:22" ht="20.399999999999999" customHeight="1" thickTop="1" thickBot="1" x14ac:dyDescent="0.3">
      <c r="A10" s="137"/>
      <c r="B10" s="137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37" t="s">
        <v>228</v>
      </c>
      <c r="B11" s="137" t="s">
        <v>232</v>
      </c>
      <c r="C11" s="182" t="s">
        <v>236</v>
      </c>
      <c r="D11" s="183"/>
      <c r="E11" s="183"/>
      <c r="F11" s="183"/>
      <c r="G11" s="184"/>
      <c r="H11" s="182" t="s">
        <v>249</v>
      </c>
      <c r="I11" s="183"/>
      <c r="J11" s="183"/>
      <c r="K11" s="183"/>
      <c r="L11" s="184"/>
      <c r="M11" s="182" t="s">
        <v>250</v>
      </c>
      <c r="N11" s="183"/>
      <c r="O11" s="183"/>
      <c r="P11" s="183"/>
      <c r="Q11" s="184"/>
      <c r="R11" s="182" t="s">
        <v>251</v>
      </c>
      <c r="S11" s="183"/>
      <c r="T11" s="183"/>
      <c r="U11" s="183"/>
      <c r="V11" s="184"/>
    </row>
    <row r="12" spans="1:22" ht="20.399999999999999" customHeight="1" thickTop="1" thickBot="1" x14ac:dyDescent="0.3">
      <c r="A12" s="137"/>
      <c r="B12" s="137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1" t="s">
        <v>324</v>
      </c>
      <c r="B13" s="181"/>
      <c r="C13" s="181"/>
      <c r="D13" s="181"/>
      <c r="E13" s="181"/>
      <c r="F13" s="181"/>
      <c r="G13" s="181"/>
    </row>
    <row r="14" spans="1:22" ht="20.399999999999999" customHeight="1" thickTop="1" thickBot="1" x14ac:dyDescent="0.3">
      <c r="A14" s="181"/>
      <c r="B14" s="181"/>
      <c r="C14" s="181"/>
      <c r="D14" s="181"/>
      <c r="E14" s="181"/>
      <c r="F14" s="181"/>
      <c r="G14" s="181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106</v>
      </c>
      <c r="D15" s="154" t="s">
        <v>107</v>
      </c>
      <c r="E15" s="154"/>
      <c r="F15" s="154"/>
      <c r="G15" s="154"/>
    </row>
    <row r="16" spans="1:22" ht="20.399999999999999" customHeight="1" thickTop="1" thickBot="1" x14ac:dyDescent="0.3">
      <c r="A16" s="137" t="s">
        <v>169</v>
      </c>
      <c r="B16" s="137" t="s">
        <v>173</v>
      </c>
      <c r="C16" s="137">
        <v>10</v>
      </c>
      <c r="D16" s="188" t="s">
        <v>171</v>
      </c>
      <c r="E16" s="188"/>
      <c r="F16" s="188"/>
      <c r="G16" s="188"/>
    </row>
    <row r="17" spans="1:7" ht="20.399999999999999" customHeight="1" thickTop="1" thickBot="1" x14ac:dyDescent="0.3">
      <c r="A17" s="137"/>
      <c r="B17" s="137"/>
      <c r="C17" s="137"/>
      <c r="D17" s="188"/>
      <c r="E17" s="188"/>
      <c r="F17" s="188"/>
      <c r="G17" s="188"/>
    </row>
    <row r="18" spans="1:7" ht="20.399999999999999" customHeight="1" thickTop="1" thickBot="1" x14ac:dyDescent="0.3">
      <c r="A18" s="137" t="s">
        <v>170</v>
      </c>
      <c r="B18" s="137" t="s">
        <v>174</v>
      </c>
      <c r="C18" s="137">
        <v>0</v>
      </c>
      <c r="D18" s="188" t="s">
        <v>172</v>
      </c>
      <c r="E18" s="188"/>
      <c r="F18" s="188"/>
      <c r="G18" s="188"/>
    </row>
    <row r="19" spans="1:7" ht="20.399999999999999" customHeight="1" thickTop="1" thickBot="1" x14ac:dyDescent="0.3">
      <c r="A19" s="137"/>
      <c r="B19" s="137"/>
      <c r="C19" s="137"/>
      <c r="D19" s="188"/>
      <c r="E19" s="188"/>
      <c r="F19" s="188"/>
      <c r="G19" s="188"/>
    </row>
    <row r="20" spans="1:7" ht="20.399999999999999" customHeight="1" thickTop="1" thickBot="1" x14ac:dyDescent="0.3">
      <c r="A20" s="137"/>
      <c r="B20" s="137"/>
      <c r="C20" s="137"/>
      <c r="D20" s="188"/>
      <c r="E20" s="188"/>
      <c r="F20" s="188"/>
      <c r="G20" s="188"/>
    </row>
    <row r="21" spans="1:7" ht="20.399999999999999" customHeight="1" thickTop="1" thickBot="1" x14ac:dyDescent="0.3">
      <c r="A21" s="137"/>
      <c r="B21" s="137"/>
      <c r="C21" s="137"/>
      <c r="D21" s="188"/>
      <c r="E21" s="188"/>
      <c r="F21" s="188"/>
      <c r="G21" s="188"/>
    </row>
    <row r="22" spans="1:7" ht="20.399999999999999" customHeight="1" thickTop="1" thickBot="1" x14ac:dyDescent="0.3">
      <c r="A22" s="137"/>
      <c r="B22" s="137"/>
      <c r="C22" s="137"/>
      <c r="D22" s="188"/>
      <c r="E22" s="188"/>
      <c r="F22" s="188"/>
      <c r="G22" s="188"/>
    </row>
    <row r="23" spans="1:7" ht="20.399999999999999" customHeight="1" thickTop="1" thickBot="1" x14ac:dyDescent="0.3">
      <c r="A23" s="137"/>
      <c r="B23" s="137"/>
      <c r="C23" s="137"/>
      <c r="D23" s="188"/>
      <c r="E23" s="188"/>
      <c r="F23" s="188"/>
      <c r="G23" s="188"/>
    </row>
    <row r="24" spans="1:7" ht="20.399999999999999" customHeight="1" thickTop="1" thickBot="1" x14ac:dyDescent="0.3">
      <c r="A24" s="137"/>
      <c r="B24" s="137"/>
      <c r="C24" s="137"/>
      <c r="D24" s="188"/>
      <c r="E24" s="188"/>
      <c r="F24" s="188"/>
      <c r="G24" s="188"/>
    </row>
    <row r="25" spans="1:7" ht="20.399999999999999" customHeight="1" thickTop="1" thickBot="1" x14ac:dyDescent="0.3">
      <c r="A25" s="137"/>
      <c r="B25" s="137"/>
      <c r="C25" s="137"/>
      <c r="D25" s="188"/>
      <c r="E25" s="188"/>
      <c r="F25" s="188"/>
      <c r="G25" s="188"/>
    </row>
    <row r="26" spans="1:7" ht="20.399999999999999" customHeight="1" thickTop="1" thickBot="1" x14ac:dyDescent="0.3">
      <c r="A26" s="137"/>
      <c r="B26" s="137"/>
      <c r="C26" s="137"/>
      <c r="D26" s="188"/>
      <c r="E26" s="188"/>
      <c r="F26" s="188"/>
      <c r="G26" s="188"/>
    </row>
    <row r="27" spans="1:7" ht="20.399999999999999" customHeight="1" thickTop="1" thickBot="1" x14ac:dyDescent="0.3">
      <c r="A27" s="137"/>
      <c r="B27" s="137"/>
      <c r="C27" s="137"/>
      <c r="D27" s="188"/>
      <c r="E27" s="188"/>
      <c r="F27" s="188"/>
      <c r="G27" s="188"/>
    </row>
    <row r="28" spans="1:7" ht="20.399999999999999" customHeight="1" thickTop="1" x14ac:dyDescent="0.25"/>
  </sheetData>
  <mergeCells count="57">
    <mergeCell ref="A24:A25"/>
    <mergeCell ref="B24:B25"/>
    <mergeCell ref="C24:C25"/>
    <mergeCell ref="D24:G25"/>
    <mergeCell ref="A26:A27"/>
    <mergeCell ref="B26:B27"/>
    <mergeCell ref="C26:C27"/>
    <mergeCell ref="D26:G27"/>
    <mergeCell ref="A20:A21"/>
    <mergeCell ref="B20:B21"/>
    <mergeCell ref="C20:C21"/>
    <mergeCell ref="D20:G21"/>
    <mergeCell ref="A22:A23"/>
    <mergeCell ref="B22:B23"/>
    <mergeCell ref="C22:C23"/>
    <mergeCell ref="D22:G23"/>
    <mergeCell ref="A16:A17"/>
    <mergeCell ref="B16:B17"/>
    <mergeCell ref="C16:C17"/>
    <mergeCell ref="D16:G17"/>
    <mergeCell ref="A18:A19"/>
    <mergeCell ref="B18:B19"/>
    <mergeCell ref="C18:C19"/>
    <mergeCell ref="D18:G19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A13:G14"/>
    <mergeCell ref="D15:G15"/>
    <mergeCell ref="A5:A6"/>
    <mergeCell ref="B5:B6"/>
    <mergeCell ref="C5:G6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C18" sqref="C18:C19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1" t="s">
        <v>167</v>
      </c>
      <c r="B1" s="181"/>
      <c r="C1" s="181"/>
      <c r="D1" s="181"/>
      <c r="E1" s="181"/>
      <c r="F1" s="181"/>
      <c r="G1" s="181"/>
    </row>
    <row r="2" spans="1:22" ht="20.399999999999999" customHeight="1" thickTop="1" thickBot="1" x14ac:dyDescent="0.3">
      <c r="A2" s="181"/>
      <c r="B2" s="181"/>
      <c r="C2" s="181"/>
      <c r="D2" s="181"/>
      <c r="E2" s="181"/>
      <c r="F2" s="181"/>
      <c r="G2" s="181"/>
    </row>
    <row r="3" spans="1:22" ht="20.399999999999999" customHeight="1" thickTop="1" thickBot="1" x14ac:dyDescent="0.3">
      <c r="A3" s="151" t="s">
        <v>224</v>
      </c>
      <c r="B3" s="153"/>
      <c r="C3" s="151" cm="1">
        <f t="array" aca="1" ref="C3" ca="1">INT(INDIRECT("各种技能"&amp;"!G21")/8)</f>
        <v>3</v>
      </c>
      <c r="D3" s="152"/>
      <c r="E3" s="152"/>
      <c r="F3" s="152"/>
      <c r="G3" s="153"/>
    </row>
    <row r="4" spans="1:22" ht="20.399999999999999" customHeight="1" thickTop="1" thickBot="1" x14ac:dyDescent="0.3">
      <c r="A4" s="25" t="s">
        <v>36</v>
      </c>
      <c r="B4" s="25" t="s">
        <v>115</v>
      </c>
      <c r="C4" s="151" t="s">
        <v>240</v>
      </c>
      <c r="D4" s="152"/>
      <c r="E4" s="152"/>
      <c r="F4" s="152"/>
      <c r="G4" s="153"/>
      <c r="H4" s="151" t="s">
        <v>241</v>
      </c>
      <c r="I4" s="152"/>
      <c r="J4" s="152"/>
      <c r="K4" s="152"/>
      <c r="L4" s="153"/>
      <c r="M4" s="151" t="s">
        <v>242</v>
      </c>
      <c r="N4" s="152"/>
      <c r="O4" s="152"/>
      <c r="P4" s="152"/>
      <c r="Q4" s="153"/>
      <c r="R4" s="151" t="s">
        <v>243</v>
      </c>
      <c r="S4" s="152"/>
      <c r="T4" s="152"/>
      <c r="U4" s="152"/>
      <c r="V4" s="153"/>
    </row>
    <row r="5" spans="1:22" ht="20.399999999999999" customHeight="1" thickTop="1" thickBot="1" x14ac:dyDescent="0.3">
      <c r="A5" s="137" t="s">
        <v>229</v>
      </c>
      <c r="B5" s="137" t="s">
        <v>232</v>
      </c>
      <c r="C5" s="182" t="s">
        <v>257</v>
      </c>
      <c r="D5" s="183"/>
      <c r="E5" s="183"/>
      <c r="F5" s="183"/>
      <c r="G5" s="184"/>
      <c r="H5" s="182" t="s">
        <v>258</v>
      </c>
      <c r="I5" s="183"/>
      <c r="J5" s="183"/>
      <c r="K5" s="183"/>
      <c r="L5" s="184"/>
      <c r="M5" s="182" t="s">
        <v>259</v>
      </c>
      <c r="N5" s="183"/>
      <c r="O5" s="183"/>
      <c r="P5" s="183"/>
      <c r="Q5" s="184"/>
      <c r="R5" s="182" t="s">
        <v>260</v>
      </c>
      <c r="S5" s="183"/>
      <c r="T5" s="183"/>
      <c r="U5" s="183"/>
      <c r="V5" s="184"/>
    </row>
    <row r="6" spans="1:22" ht="20.399999999999999" customHeight="1" thickTop="1" thickBot="1" x14ac:dyDescent="0.3">
      <c r="A6" s="137"/>
      <c r="B6" s="137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37" t="s">
        <v>231</v>
      </c>
      <c r="B7" s="137" t="s">
        <v>232</v>
      </c>
      <c r="C7" s="182" t="s">
        <v>261</v>
      </c>
      <c r="D7" s="183"/>
      <c r="E7" s="183"/>
      <c r="F7" s="183"/>
      <c r="G7" s="184"/>
      <c r="H7" s="182" t="s">
        <v>364</v>
      </c>
      <c r="I7" s="183"/>
      <c r="J7" s="183"/>
      <c r="K7" s="183"/>
      <c r="L7" s="184"/>
      <c r="M7" s="182" t="s">
        <v>366</v>
      </c>
      <c r="N7" s="183"/>
      <c r="O7" s="183"/>
      <c r="P7" s="183"/>
      <c r="Q7" s="184"/>
      <c r="R7" s="182" t="s">
        <v>365</v>
      </c>
      <c r="S7" s="183"/>
      <c r="T7" s="183"/>
      <c r="U7" s="183"/>
      <c r="V7" s="184"/>
    </row>
    <row r="8" spans="1:22" ht="20.399999999999999" customHeight="1" thickTop="1" thickBot="1" x14ac:dyDescent="0.3">
      <c r="A8" s="137"/>
      <c r="B8" s="137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37" t="s">
        <v>230</v>
      </c>
      <c r="B9" s="137" t="s">
        <v>232</v>
      </c>
      <c r="C9" s="182" t="s">
        <v>262</v>
      </c>
      <c r="D9" s="183"/>
      <c r="E9" s="183"/>
      <c r="F9" s="183"/>
      <c r="G9" s="184"/>
      <c r="H9" s="182" t="s">
        <v>263</v>
      </c>
      <c r="I9" s="183"/>
      <c r="J9" s="183"/>
      <c r="K9" s="183"/>
      <c r="L9" s="184"/>
      <c r="M9" s="182" t="s">
        <v>264</v>
      </c>
      <c r="N9" s="183"/>
      <c r="O9" s="183"/>
      <c r="P9" s="183"/>
      <c r="Q9" s="184"/>
      <c r="R9" s="182" t="s">
        <v>265</v>
      </c>
      <c r="S9" s="183"/>
      <c r="T9" s="183"/>
      <c r="U9" s="183"/>
      <c r="V9" s="184"/>
    </row>
    <row r="10" spans="1:22" ht="20.399999999999999" customHeight="1" thickTop="1" thickBot="1" x14ac:dyDescent="0.3">
      <c r="A10" s="137"/>
      <c r="B10" s="137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37" t="s">
        <v>252</v>
      </c>
      <c r="B11" s="137" t="s">
        <v>232</v>
      </c>
      <c r="C11" s="182" t="s">
        <v>266</v>
      </c>
      <c r="D11" s="183"/>
      <c r="E11" s="183"/>
      <c r="F11" s="183"/>
      <c r="G11" s="184"/>
      <c r="H11" s="182" t="s">
        <v>267</v>
      </c>
      <c r="I11" s="183"/>
      <c r="J11" s="183"/>
      <c r="K11" s="183"/>
      <c r="L11" s="184"/>
      <c r="M11" s="182" t="s">
        <v>268</v>
      </c>
      <c r="N11" s="183"/>
      <c r="O11" s="183"/>
      <c r="P11" s="183"/>
      <c r="Q11" s="184"/>
      <c r="R11" s="182" t="s">
        <v>269</v>
      </c>
      <c r="S11" s="183"/>
      <c r="T11" s="183"/>
      <c r="U11" s="183"/>
      <c r="V11" s="184"/>
    </row>
    <row r="12" spans="1:22" ht="20.399999999999999" customHeight="1" thickTop="1" thickBot="1" x14ac:dyDescent="0.3">
      <c r="A12" s="137"/>
      <c r="B12" s="137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1" t="s">
        <v>108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</row>
    <row r="14" spans="1:22" ht="20.399999999999999" customHeight="1" thickTop="1" thickBot="1" x14ac:dyDescent="0.3">
      <c r="A14" s="181"/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71</v>
      </c>
      <c r="D15" s="154" t="s">
        <v>107</v>
      </c>
      <c r="E15" s="154"/>
      <c r="F15" s="154"/>
      <c r="G15" s="154"/>
      <c r="H15" s="25" t="s">
        <v>72</v>
      </c>
      <c r="I15" s="154" t="s">
        <v>74</v>
      </c>
      <c r="J15" s="154"/>
      <c r="K15" s="154"/>
      <c r="L15" s="25" t="s">
        <v>106</v>
      </c>
      <c r="M15" s="25" t="s">
        <v>73</v>
      </c>
    </row>
    <row r="16" spans="1:22" ht="20.399999999999999" customHeight="1" thickTop="1" thickBot="1" x14ac:dyDescent="0.3">
      <c r="A16" s="137" t="s">
        <v>175</v>
      </c>
      <c r="B16" s="137" t="s">
        <v>52</v>
      </c>
      <c r="C16" s="137">
        <f ca="1">LOOKUP(INDIRECT("rc[-1]",),INDIRECT("总表"&amp;"!A29:A34"),INDIRECT("总表"&amp;"!B29:B34"))</f>
        <v>50</v>
      </c>
      <c r="D16" s="135" t="s">
        <v>109</v>
      </c>
      <c r="E16" s="135"/>
      <c r="F16" s="135"/>
      <c r="G16" s="135"/>
      <c r="H16" s="137">
        <v>1</v>
      </c>
      <c r="I16" s="137">
        <v>0</v>
      </c>
      <c r="J16" s="137" t="s">
        <v>18</v>
      </c>
      <c r="K16" s="137" t="str">
        <f>IF(H16&lt;10,"6",IF(H16&lt;20,"9",IF(H16&lt;30,"12",18)))</f>
        <v>6</v>
      </c>
      <c r="L16" s="137">
        <v>5</v>
      </c>
      <c r="M16" s="175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37"/>
      <c r="B17" s="137"/>
      <c r="C17" s="137"/>
      <c r="D17" s="135"/>
      <c r="E17" s="135"/>
      <c r="F17" s="135"/>
      <c r="G17" s="135"/>
      <c r="H17" s="137"/>
      <c r="I17" s="137"/>
      <c r="J17" s="137"/>
      <c r="K17" s="137"/>
      <c r="L17" s="137"/>
      <c r="M17" s="175"/>
    </row>
    <row r="18" spans="1:13" ht="20.399999999999999" customHeight="1" thickTop="1" thickBot="1" x14ac:dyDescent="0.3">
      <c r="A18" s="137" t="s">
        <v>176</v>
      </c>
      <c r="B18" s="137" t="s">
        <v>52</v>
      </c>
      <c r="C18" s="137">
        <f t="shared" ref="C18" ca="1" si="0">LOOKUP(INDIRECT("rc[-1]",),INDIRECT("总表"&amp;"!A29:A34"),INDIRECT("总表"&amp;"!B29:B34"))</f>
        <v>50</v>
      </c>
      <c r="D18" s="135" t="s">
        <v>110</v>
      </c>
      <c r="E18" s="135"/>
      <c r="F18" s="135"/>
      <c r="G18" s="135"/>
      <c r="H18" s="137">
        <v>1</v>
      </c>
      <c r="I18" s="137">
        <v>0</v>
      </c>
      <c r="J18" s="137" t="s">
        <v>18</v>
      </c>
      <c r="K18" s="137" t="str">
        <f t="shared" ref="K18" si="1">IF(H18&lt;10,"6",IF(H18&lt;20,"9",IF(H18&lt;30,"12",18)))</f>
        <v>6</v>
      </c>
      <c r="L18" s="137">
        <v>10</v>
      </c>
      <c r="M18" s="175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37"/>
      <c r="B19" s="137"/>
      <c r="C19" s="137"/>
      <c r="D19" s="135"/>
      <c r="E19" s="135"/>
      <c r="F19" s="135"/>
      <c r="G19" s="135"/>
      <c r="H19" s="137"/>
      <c r="I19" s="137"/>
      <c r="J19" s="137"/>
      <c r="K19" s="137"/>
      <c r="L19" s="137"/>
      <c r="M19" s="175"/>
    </row>
    <row r="20" spans="1:13" ht="20.399999999999999" customHeight="1" thickTop="1" thickBot="1" x14ac:dyDescent="0.3">
      <c r="A20" s="137"/>
      <c r="B20" s="137" t="s">
        <v>52</v>
      </c>
      <c r="C20" s="137">
        <f t="shared" ref="C20" ca="1" si="2">LOOKUP(INDIRECT("rc[-1]",),INDIRECT("总表"&amp;"!A29:A34"),INDIRECT("总表"&amp;"!B29:B34"))</f>
        <v>50</v>
      </c>
      <c r="D20" s="135"/>
      <c r="E20" s="135"/>
      <c r="F20" s="135"/>
      <c r="G20" s="135"/>
      <c r="H20" s="137">
        <v>1</v>
      </c>
      <c r="I20" s="137">
        <v>0</v>
      </c>
      <c r="J20" s="137" t="s">
        <v>18</v>
      </c>
      <c r="K20" s="137" t="str">
        <f t="shared" ref="K20" si="3">IF(H20&lt;10,"6",IF(H20&lt;20,"9",IF(H20&lt;30,"12",18)))</f>
        <v>6</v>
      </c>
      <c r="L20" s="137"/>
      <c r="M20" s="137"/>
    </row>
    <row r="21" spans="1:13" ht="20.399999999999999" customHeight="1" thickTop="1" thickBot="1" x14ac:dyDescent="0.3">
      <c r="A21" s="137"/>
      <c r="B21" s="137"/>
      <c r="C21" s="137"/>
      <c r="D21" s="135"/>
      <c r="E21" s="135"/>
      <c r="F21" s="135"/>
      <c r="G21" s="135"/>
      <c r="H21" s="137"/>
      <c r="I21" s="137"/>
      <c r="J21" s="137"/>
      <c r="K21" s="137"/>
      <c r="L21" s="137"/>
      <c r="M21" s="137"/>
    </row>
    <row r="22" spans="1:13" ht="20.399999999999999" customHeight="1" thickTop="1" thickBot="1" x14ac:dyDescent="0.3">
      <c r="A22" s="137"/>
      <c r="B22" s="137" t="s">
        <v>52</v>
      </c>
      <c r="C22" s="137">
        <f t="shared" ref="C22" ca="1" si="4">LOOKUP(INDIRECT("rc[-1]",),INDIRECT("总表"&amp;"!A29:A34"),INDIRECT("总表"&amp;"!B29:B34"))</f>
        <v>50</v>
      </c>
      <c r="D22" s="135"/>
      <c r="E22" s="135"/>
      <c r="F22" s="135"/>
      <c r="G22" s="135"/>
      <c r="H22" s="137">
        <v>1</v>
      </c>
      <c r="I22" s="137">
        <v>0</v>
      </c>
      <c r="J22" s="137" t="s">
        <v>18</v>
      </c>
      <c r="K22" s="137" t="str">
        <f t="shared" ref="K22" si="5">IF(H22&lt;10,"6",IF(H22&lt;20,"9",IF(H22&lt;30,"12",18)))</f>
        <v>6</v>
      </c>
      <c r="L22" s="137"/>
      <c r="M22" s="137"/>
    </row>
    <row r="23" spans="1:13" ht="20.399999999999999" customHeight="1" thickTop="1" thickBot="1" x14ac:dyDescent="0.3">
      <c r="A23" s="137"/>
      <c r="B23" s="137"/>
      <c r="C23" s="137"/>
      <c r="D23" s="135"/>
      <c r="E23" s="135"/>
      <c r="F23" s="135"/>
      <c r="G23" s="135"/>
      <c r="H23" s="137"/>
      <c r="I23" s="137"/>
      <c r="J23" s="137"/>
      <c r="K23" s="137"/>
      <c r="L23" s="137"/>
      <c r="M23" s="137"/>
    </row>
    <row r="24" spans="1:13" ht="20.399999999999999" customHeight="1" thickTop="1" thickBot="1" x14ac:dyDescent="0.3">
      <c r="A24" s="137"/>
      <c r="B24" s="137" t="s">
        <v>52</v>
      </c>
      <c r="C24" s="137">
        <f t="shared" ref="C24" ca="1" si="6">LOOKUP(INDIRECT("rc[-1]",),INDIRECT("总表"&amp;"!A29:A34"),INDIRECT("总表"&amp;"!B29:B34"))</f>
        <v>50</v>
      </c>
      <c r="D24" s="135"/>
      <c r="E24" s="135"/>
      <c r="F24" s="135"/>
      <c r="G24" s="135"/>
      <c r="H24" s="137">
        <v>1</v>
      </c>
      <c r="I24" s="137">
        <v>0</v>
      </c>
      <c r="J24" s="137" t="s">
        <v>18</v>
      </c>
      <c r="K24" s="137" t="str">
        <f t="shared" ref="K24" si="7">IF(H24&lt;10,"6",IF(H24&lt;20,"9",IF(H24&lt;30,"12",18)))</f>
        <v>6</v>
      </c>
      <c r="L24" s="137"/>
      <c r="M24" s="137"/>
    </row>
    <row r="25" spans="1:13" ht="20.399999999999999" customHeight="1" thickTop="1" thickBot="1" x14ac:dyDescent="0.3">
      <c r="A25" s="137"/>
      <c r="B25" s="137"/>
      <c r="C25" s="137"/>
      <c r="D25" s="135"/>
      <c r="E25" s="135"/>
      <c r="F25" s="135"/>
      <c r="G25" s="135"/>
      <c r="H25" s="137"/>
      <c r="I25" s="137"/>
      <c r="J25" s="137"/>
      <c r="K25" s="137"/>
      <c r="L25" s="137"/>
      <c r="M25" s="137"/>
    </row>
    <row r="26" spans="1:13" ht="20.399999999999999" customHeight="1" thickTop="1" thickBot="1" x14ac:dyDescent="0.3">
      <c r="A26" s="137"/>
      <c r="B26" s="137" t="s">
        <v>52</v>
      </c>
      <c r="C26" s="137">
        <f t="shared" ref="C26" ca="1" si="8">LOOKUP(INDIRECT("rc[-1]",),INDIRECT("总表"&amp;"!A29:A34"),INDIRECT("总表"&amp;"!B29:B34"))</f>
        <v>50</v>
      </c>
      <c r="D26" s="135"/>
      <c r="E26" s="135"/>
      <c r="F26" s="135"/>
      <c r="G26" s="135"/>
      <c r="H26" s="137">
        <v>1</v>
      </c>
      <c r="I26" s="137">
        <v>0</v>
      </c>
      <c r="J26" s="137" t="s">
        <v>18</v>
      </c>
      <c r="K26" s="137" t="str">
        <f t="shared" ref="K26" si="9">IF(H26&lt;10,"6",IF(H26&lt;20,"9",IF(H26&lt;30,"12",18)))</f>
        <v>6</v>
      </c>
      <c r="L26" s="137"/>
      <c r="M26" s="137"/>
    </row>
    <row r="27" spans="1:13" ht="20.399999999999999" customHeight="1" thickTop="1" thickBot="1" x14ac:dyDescent="0.3">
      <c r="A27" s="137"/>
      <c r="B27" s="137"/>
      <c r="C27" s="137"/>
      <c r="D27" s="135"/>
      <c r="E27" s="135"/>
      <c r="F27" s="135"/>
      <c r="G27" s="135"/>
      <c r="H27" s="137"/>
      <c r="I27" s="137"/>
      <c r="J27" s="137"/>
      <c r="K27" s="137"/>
      <c r="L27" s="137"/>
      <c r="M27" s="137"/>
    </row>
    <row r="28" spans="1:13" ht="20.399999999999999" customHeight="1" thickTop="1" x14ac:dyDescent="0.25"/>
  </sheetData>
  <mergeCells count="94">
    <mergeCell ref="A26:A27"/>
    <mergeCell ref="B26:B27"/>
    <mergeCell ref="C26:C27"/>
    <mergeCell ref="D26:G27"/>
    <mergeCell ref="H26:H27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C20:C21"/>
    <mergeCell ref="D20:G21"/>
    <mergeCell ref="H20:H21"/>
    <mergeCell ref="I20:I21"/>
    <mergeCell ref="J20:J21"/>
    <mergeCell ref="C18:C19"/>
    <mergeCell ref="D18:G19"/>
    <mergeCell ref="H18:H19"/>
    <mergeCell ref="C16:C17"/>
    <mergeCell ref="D16:G17"/>
    <mergeCell ref="H16:H17"/>
    <mergeCell ref="A20:A21"/>
    <mergeCell ref="B20:B21"/>
    <mergeCell ref="A11:A12"/>
    <mergeCell ref="B11:B12"/>
    <mergeCell ref="A18:A19"/>
    <mergeCell ref="B18:B19"/>
    <mergeCell ref="A16:A17"/>
    <mergeCell ref="B16:B17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A1:G2"/>
    <mergeCell ref="A5:A6"/>
    <mergeCell ref="B5:B6"/>
    <mergeCell ref="A3:B3"/>
    <mergeCell ref="C3:G3"/>
    <mergeCell ref="C4:G4"/>
    <mergeCell ref="C5:G6"/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546F-186F-4033-B915-F8B0F0A86128}">
  <sheetPr codeName="Sheet9"/>
  <dimension ref="A1:AZ30"/>
  <sheetViews>
    <sheetView workbookViewId="0">
      <selection activeCell="G6" sqref="G6:J7"/>
    </sheetView>
  </sheetViews>
  <sheetFormatPr defaultRowHeight="13.8" x14ac:dyDescent="0.25"/>
  <sheetData>
    <row r="1" spans="1:52" ht="20.399999999999999" customHeight="1" thickTop="1" thickBot="1" x14ac:dyDescent="0.3">
      <c r="A1" s="205" t="s">
        <v>114</v>
      </c>
      <c r="B1" s="205"/>
      <c r="C1" s="205"/>
      <c r="D1" s="205"/>
      <c r="E1" s="181" t="s">
        <v>122</v>
      </c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205" t="s">
        <v>123</v>
      </c>
      <c r="R1" s="205"/>
      <c r="S1" s="205"/>
      <c r="T1" s="205"/>
      <c r="U1" s="189" t="s">
        <v>124</v>
      </c>
      <c r="V1" s="190"/>
      <c r="W1" s="190"/>
      <c r="X1" s="190"/>
      <c r="Y1" s="190"/>
      <c r="Z1" s="190"/>
      <c r="AA1" s="190"/>
      <c r="AB1" s="190"/>
      <c r="AC1" s="190"/>
      <c r="AD1" s="190"/>
      <c r="AE1" s="191"/>
      <c r="AF1" s="205" t="s">
        <v>127</v>
      </c>
      <c r="AG1" s="205"/>
      <c r="AH1" s="205"/>
      <c r="AI1" s="205"/>
      <c r="AJ1" s="199" t="s">
        <v>128</v>
      </c>
      <c r="AK1" s="199"/>
      <c r="AL1" s="199"/>
      <c r="AM1" s="199"/>
      <c r="AN1" s="199"/>
      <c r="AO1" s="199"/>
      <c r="AP1" s="199"/>
      <c r="AQ1" s="199"/>
      <c r="AR1" s="199"/>
      <c r="AS1" s="199"/>
      <c r="AT1" s="199"/>
      <c r="AU1" s="199"/>
      <c r="AV1" s="199" t="s">
        <v>133</v>
      </c>
      <c r="AW1" s="199"/>
      <c r="AX1" s="199"/>
      <c r="AY1" s="199"/>
      <c r="AZ1" s="199"/>
    </row>
    <row r="2" spans="1:52" ht="20.399999999999999" customHeight="1" thickTop="1" thickBot="1" x14ac:dyDescent="0.3">
      <c r="A2" s="206"/>
      <c r="B2" s="206"/>
      <c r="C2" s="206"/>
      <c r="D2" s="206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206"/>
      <c r="R2" s="206"/>
      <c r="S2" s="206"/>
      <c r="T2" s="206"/>
      <c r="U2" s="192"/>
      <c r="V2" s="193"/>
      <c r="W2" s="193"/>
      <c r="X2" s="193"/>
      <c r="Y2" s="193"/>
      <c r="Z2" s="193"/>
      <c r="AA2" s="193"/>
      <c r="AB2" s="193"/>
      <c r="AC2" s="193"/>
      <c r="AD2" s="193"/>
      <c r="AE2" s="194"/>
      <c r="AF2" s="206"/>
      <c r="AG2" s="206"/>
      <c r="AH2" s="206"/>
      <c r="AI2" s="206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</row>
    <row r="3" spans="1:52" ht="20.399999999999999" customHeight="1" thickTop="1" thickBot="1" x14ac:dyDescent="0.3">
      <c r="A3" s="207" t="s">
        <v>115</v>
      </c>
      <c r="B3" s="207"/>
      <c r="C3" s="198">
        <f>IF(C7&lt;C9,1,IF(C7&lt;D9,2,IF(C7&lt;C10,3,IF(C7&lt;D10,4,5))))</f>
        <v>1</v>
      </c>
      <c r="D3" s="198"/>
      <c r="E3" s="25" t="s">
        <v>36</v>
      </c>
      <c r="F3" s="25" t="s">
        <v>71</v>
      </c>
      <c r="G3" s="154" t="s">
        <v>107</v>
      </c>
      <c r="H3" s="154"/>
      <c r="I3" s="154"/>
      <c r="J3" s="154"/>
      <c r="K3" s="25" t="s">
        <v>72</v>
      </c>
      <c r="L3" s="154" t="s">
        <v>74</v>
      </c>
      <c r="M3" s="154"/>
      <c r="N3" s="154"/>
      <c r="O3" s="25" t="s">
        <v>106</v>
      </c>
      <c r="P3" s="25" t="s">
        <v>73</v>
      </c>
      <c r="Q3" s="207" t="s">
        <v>115</v>
      </c>
      <c r="R3" s="207"/>
      <c r="S3" s="198">
        <f>IF(S7&lt;S9,1,IF(S7&lt;T9,2,IF(S7&lt;S10,3,IF(S7&lt;T10,4,5))))</f>
        <v>1</v>
      </c>
      <c r="T3" s="198"/>
      <c r="U3" s="25" t="s">
        <v>36</v>
      </c>
      <c r="V3" s="25" t="s">
        <v>71</v>
      </c>
      <c r="W3" s="154" t="s">
        <v>107</v>
      </c>
      <c r="X3" s="154"/>
      <c r="Y3" s="154"/>
      <c r="Z3" s="154"/>
      <c r="AA3" s="25" t="s">
        <v>72</v>
      </c>
      <c r="AB3" s="154" t="s">
        <v>74</v>
      </c>
      <c r="AC3" s="154"/>
      <c r="AD3" s="154"/>
      <c r="AE3" s="25" t="s">
        <v>73</v>
      </c>
      <c r="AF3" s="207" t="s">
        <v>115</v>
      </c>
      <c r="AG3" s="207"/>
      <c r="AH3" s="198">
        <f>IF(AH7&lt;AH9,1,IF(AH7&lt;AI9,2,IF(AH7&lt;AH10,3,IF(AH7&lt;AI10,4,5))))</f>
        <v>1</v>
      </c>
      <c r="AI3" s="198"/>
      <c r="AJ3" s="27" t="s">
        <v>36</v>
      </c>
      <c r="AK3" s="27" t="s">
        <v>106</v>
      </c>
      <c r="AL3" s="136" t="s">
        <v>107</v>
      </c>
      <c r="AM3" s="136"/>
      <c r="AN3" s="136"/>
      <c r="AO3" s="136"/>
      <c r="AP3" s="200" t="s">
        <v>131</v>
      </c>
      <c r="AQ3" s="201"/>
      <c r="AR3" s="202"/>
      <c r="AS3" s="28" t="s">
        <v>140</v>
      </c>
      <c r="AT3" s="136" t="s">
        <v>137</v>
      </c>
      <c r="AU3" s="136"/>
      <c r="AV3" s="27" t="s">
        <v>36</v>
      </c>
      <c r="AW3" s="27" t="s">
        <v>134</v>
      </c>
      <c r="AX3" s="136" t="s">
        <v>39</v>
      </c>
      <c r="AY3" s="136"/>
      <c r="AZ3" s="136"/>
    </row>
    <row r="4" spans="1:52" ht="20.399999999999999" customHeight="1" thickTop="1" thickBot="1" x14ac:dyDescent="0.3">
      <c r="A4" s="208"/>
      <c r="B4" s="208"/>
      <c r="C4" s="198"/>
      <c r="D4" s="198"/>
      <c r="E4" s="195" t="s">
        <v>177</v>
      </c>
      <c r="F4" s="195" cm="1">
        <f t="array" aca="1" ref="F4" ca="1">INDIRECT("总表"&amp;"!K13")</f>
        <v>30</v>
      </c>
      <c r="G4" s="143" t="s">
        <v>171</v>
      </c>
      <c r="H4" s="144"/>
      <c r="I4" s="144"/>
      <c r="J4" s="145"/>
      <c r="K4" s="195">
        <v>1</v>
      </c>
      <c r="L4" s="195">
        <v>0</v>
      </c>
      <c r="M4" s="195" t="s">
        <v>18</v>
      </c>
      <c r="N4" s="137" t="str">
        <f>IF(K4&lt;10,"6",IF(K4&lt;20,"9",IF(K4&lt;30,"12",18)))</f>
        <v>6</v>
      </c>
      <c r="O4" s="195">
        <v>5</v>
      </c>
      <c r="P4" s="175">
        <f ca="1">IF(SUM(F4,K4)&lt;=50,SUM(F4,K4),IF(SUM(F4,K4)&lt;=80,(SUM(F4,K4)-50)*0.7+50,(SUM(F4,K4)-80)*0.4+71))</f>
        <v>31</v>
      </c>
      <c r="Q4" s="208"/>
      <c r="R4" s="208"/>
      <c r="S4" s="198"/>
      <c r="T4" s="198"/>
      <c r="U4" s="195" t="s">
        <v>177</v>
      </c>
      <c r="V4" s="195" cm="1">
        <f t="array" aca="1" ref="V4" ca="1">INDIRECT("总表"&amp;"!K13")</f>
        <v>30</v>
      </c>
      <c r="W4" s="143" t="s">
        <v>171</v>
      </c>
      <c r="X4" s="144"/>
      <c r="Y4" s="144"/>
      <c r="Z4" s="145"/>
      <c r="AA4" s="195">
        <v>1</v>
      </c>
      <c r="AB4" s="195">
        <v>0</v>
      </c>
      <c r="AC4" s="195" t="s">
        <v>18</v>
      </c>
      <c r="AD4" s="137" t="str">
        <f>IF(AA4&lt;10,"6",IF(AA4&lt;20,"9",IF(AA4&lt;30,"12",18)))</f>
        <v>6</v>
      </c>
      <c r="AE4" s="175">
        <f ca="1">IF(SUM(V4,AA4)&lt;=50,SUM(V4,AA4),IF(SUM(V4,AA4)&lt;=80,(SUM(V4,AA4)-50)*0.7+50,(SUM(V4,AA4)-80)*0.4+71))</f>
        <v>31</v>
      </c>
      <c r="AF4" s="208"/>
      <c r="AG4" s="208"/>
      <c r="AH4" s="198"/>
      <c r="AI4" s="198"/>
      <c r="AJ4" s="135" t="s">
        <v>111</v>
      </c>
      <c r="AK4" s="135">
        <v>15</v>
      </c>
      <c r="AL4" s="135" t="s">
        <v>112</v>
      </c>
      <c r="AM4" s="135"/>
      <c r="AN4" s="135"/>
      <c r="AO4" s="135"/>
      <c r="AP4" s="143" t="s">
        <v>132</v>
      </c>
      <c r="AQ4" s="144"/>
      <c r="AR4" s="145"/>
      <c r="AS4" s="170" t="s">
        <v>141</v>
      </c>
      <c r="AT4" s="135" t="s">
        <v>138</v>
      </c>
      <c r="AU4" s="135"/>
      <c r="AV4" s="170" t="s">
        <v>135</v>
      </c>
      <c r="AW4" s="170">
        <v>6</v>
      </c>
      <c r="AX4" s="143" t="s">
        <v>136</v>
      </c>
      <c r="AY4" s="144"/>
      <c r="AZ4" s="145"/>
    </row>
    <row r="5" spans="1:52" ht="20.399999999999999" customHeight="1" thickTop="1" thickBot="1" x14ac:dyDescent="0.3">
      <c r="A5" s="197" t="s">
        <v>116</v>
      </c>
      <c r="B5" s="197"/>
      <c r="C5" s="198" t="s">
        <v>180</v>
      </c>
      <c r="D5" s="198"/>
      <c r="E5" s="196"/>
      <c r="F5" s="196"/>
      <c r="G5" s="148"/>
      <c r="H5" s="149"/>
      <c r="I5" s="149"/>
      <c r="J5" s="150"/>
      <c r="K5" s="196"/>
      <c r="L5" s="196"/>
      <c r="M5" s="196"/>
      <c r="N5" s="137"/>
      <c r="O5" s="196"/>
      <c r="P5" s="175"/>
      <c r="Q5" s="197" t="s">
        <v>116</v>
      </c>
      <c r="R5" s="197"/>
      <c r="S5" s="198" t="s">
        <v>179</v>
      </c>
      <c r="T5" s="198"/>
      <c r="U5" s="196"/>
      <c r="V5" s="196"/>
      <c r="W5" s="148"/>
      <c r="X5" s="149"/>
      <c r="Y5" s="149"/>
      <c r="Z5" s="150"/>
      <c r="AA5" s="196"/>
      <c r="AB5" s="196"/>
      <c r="AC5" s="196"/>
      <c r="AD5" s="137"/>
      <c r="AE5" s="175"/>
      <c r="AF5" s="197" t="s">
        <v>116</v>
      </c>
      <c r="AG5" s="197"/>
      <c r="AH5" s="198" t="s">
        <v>178</v>
      </c>
      <c r="AI5" s="198"/>
      <c r="AJ5" s="135"/>
      <c r="AK5" s="135"/>
      <c r="AL5" s="135"/>
      <c r="AM5" s="135"/>
      <c r="AN5" s="135"/>
      <c r="AO5" s="135"/>
      <c r="AP5" s="148"/>
      <c r="AQ5" s="149"/>
      <c r="AR5" s="150"/>
      <c r="AS5" s="171"/>
      <c r="AT5" s="135"/>
      <c r="AU5" s="135"/>
      <c r="AV5" s="171"/>
      <c r="AW5" s="171"/>
      <c r="AX5" s="148"/>
      <c r="AY5" s="149"/>
      <c r="AZ5" s="150"/>
    </row>
    <row r="6" spans="1:52" ht="20.399999999999999" customHeight="1" thickTop="1" thickBot="1" x14ac:dyDescent="0.3">
      <c r="A6" s="197"/>
      <c r="B6" s="197"/>
      <c r="C6" s="198"/>
      <c r="D6" s="198"/>
      <c r="E6" s="195"/>
      <c r="F6" s="195"/>
      <c r="G6" s="143"/>
      <c r="H6" s="144"/>
      <c r="I6" s="144"/>
      <c r="J6" s="145"/>
      <c r="K6" s="195"/>
      <c r="L6" s="195"/>
      <c r="M6" s="195"/>
      <c r="N6" s="195"/>
      <c r="O6" s="195"/>
      <c r="P6" s="195"/>
      <c r="Q6" s="197"/>
      <c r="R6" s="197"/>
      <c r="S6" s="198"/>
      <c r="T6" s="198"/>
      <c r="U6" s="195"/>
      <c r="V6" s="195"/>
      <c r="W6" s="143"/>
      <c r="X6" s="144"/>
      <c r="Y6" s="144"/>
      <c r="Z6" s="145"/>
      <c r="AA6" s="195"/>
      <c r="AB6" s="195"/>
      <c r="AC6" s="195"/>
      <c r="AD6" s="195"/>
      <c r="AE6" s="195"/>
      <c r="AF6" s="197"/>
      <c r="AG6" s="197"/>
      <c r="AH6" s="198"/>
      <c r="AI6" s="198"/>
      <c r="AJ6" s="170"/>
      <c r="AK6" s="170"/>
      <c r="AL6" s="143"/>
      <c r="AM6" s="144"/>
      <c r="AN6" s="144"/>
      <c r="AO6" s="145"/>
      <c r="AP6" s="143"/>
      <c r="AQ6" s="144"/>
      <c r="AR6" s="145"/>
      <c r="AS6" s="170"/>
      <c r="AT6" s="135"/>
      <c r="AU6" s="135"/>
      <c r="AV6" s="170"/>
      <c r="AW6" s="170"/>
      <c r="AX6" s="143"/>
      <c r="AY6" s="144"/>
      <c r="AZ6" s="145"/>
    </row>
    <row r="7" spans="1:52" ht="20.399999999999999" customHeight="1" thickTop="1" thickBot="1" x14ac:dyDescent="0.3">
      <c r="A7" s="197" t="s">
        <v>117</v>
      </c>
      <c r="B7" s="197"/>
      <c r="C7" s="198">
        <f>IF(C5&lt;&gt;"√",SUM(K4:K19)/2,SUM(K4:K19))</f>
        <v>0.5</v>
      </c>
      <c r="D7" s="198"/>
      <c r="E7" s="196"/>
      <c r="F7" s="196"/>
      <c r="G7" s="148"/>
      <c r="H7" s="149"/>
      <c r="I7" s="149"/>
      <c r="J7" s="150"/>
      <c r="K7" s="196"/>
      <c r="L7" s="196"/>
      <c r="M7" s="196"/>
      <c r="N7" s="196"/>
      <c r="O7" s="196"/>
      <c r="P7" s="196"/>
      <c r="Q7" s="197" t="s">
        <v>117</v>
      </c>
      <c r="R7" s="197"/>
      <c r="S7" s="198">
        <f>IF(S5&lt;&gt;"√",SUM(AA4:AA19)/2,SUM(AA4:AA19))</f>
        <v>0.5</v>
      </c>
      <c r="T7" s="198"/>
      <c r="U7" s="196"/>
      <c r="V7" s="196"/>
      <c r="W7" s="148"/>
      <c r="X7" s="149"/>
      <c r="Y7" s="149"/>
      <c r="Z7" s="150"/>
      <c r="AA7" s="196"/>
      <c r="AB7" s="196"/>
      <c r="AC7" s="196"/>
      <c r="AD7" s="196"/>
      <c r="AE7" s="196"/>
      <c r="AF7" s="197" t="s">
        <v>117</v>
      </c>
      <c r="AG7" s="197"/>
      <c r="AH7" s="198">
        <v>5</v>
      </c>
      <c r="AI7" s="198"/>
      <c r="AJ7" s="171"/>
      <c r="AK7" s="171"/>
      <c r="AL7" s="148"/>
      <c r="AM7" s="149"/>
      <c r="AN7" s="149"/>
      <c r="AO7" s="150"/>
      <c r="AP7" s="148"/>
      <c r="AQ7" s="149"/>
      <c r="AR7" s="150"/>
      <c r="AS7" s="171"/>
      <c r="AT7" s="135"/>
      <c r="AU7" s="135"/>
      <c r="AV7" s="171"/>
      <c r="AW7" s="171"/>
      <c r="AX7" s="148"/>
      <c r="AY7" s="149"/>
      <c r="AZ7" s="150"/>
    </row>
    <row r="8" spans="1:52" ht="20.399999999999999" customHeight="1" thickTop="1" thickBot="1" x14ac:dyDescent="0.3">
      <c r="A8" s="197"/>
      <c r="B8" s="197"/>
      <c r="C8" s="198"/>
      <c r="D8" s="198"/>
      <c r="E8" s="195"/>
      <c r="F8" s="195"/>
      <c r="G8" s="143"/>
      <c r="H8" s="144"/>
      <c r="I8" s="144"/>
      <c r="J8" s="145"/>
      <c r="K8" s="195"/>
      <c r="L8" s="195"/>
      <c r="M8" s="195"/>
      <c r="N8" s="195"/>
      <c r="O8" s="195"/>
      <c r="P8" s="195"/>
      <c r="Q8" s="197"/>
      <c r="R8" s="197"/>
      <c r="S8" s="198"/>
      <c r="T8" s="198"/>
      <c r="U8" s="195"/>
      <c r="V8" s="195"/>
      <c r="W8" s="143"/>
      <c r="X8" s="144"/>
      <c r="Y8" s="144"/>
      <c r="Z8" s="145"/>
      <c r="AA8" s="195"/>
      <c r="AB8" s="195"/>
      <c r="AC8" s="195"/>
      <c r="AD8" s="195"/>
      <c r="AE8" s="195"/>
      <c r="AF8" s="197"/>
      <c r="AG8" s="197"/>
      <c r="AH8" s="198"/>
      <c r="AI8" s="198"/>
      <c r="AJ8" s="170"/>
      <c r="AK8" s="170"/>
      <c r="AL8" s="143"/>
      <c r="AM8" s="144"/>
      <c r="AN8" s="144"/>
      <c r="AO8" s="145"/>
      <c r="AP8" s="143"/>
      <c r="AQ8" s="144"/>
      <c r="AR8" s="145"/>
      <c r="AS8" s="170"/>
      <c r="AT8" s="135"/>
      <c r="AU8" s="135"/>
      <c r="AV8" s="170"/>
      <c r="AW8" s="170"/>
      <c r="AX8" s="143"/>
      <c r="AY8" s="144"/>
      <c r="AZ8" s="145"/>
    </row>
    <row r="9" spans="1:52" ht="20.399999999999999" customHeight="1" thickTop="1" thickBot="1" x14ac:dyDescent="0.3">
      <c r="A9" s="197" t="s">
        <v>118</v>
      </c>
      <c r="B9" s="197"/>
      <c r="C9" s="35">
        <v>15</v>
      </c>
      <c r="D9" s="35">
        <v>45</v>
      </c>
      <c r="E9" s="196"/>
      <c r="F9" s="196"/>
      <c r="G9" s="148"/>
      <c r="H9" s="149"/>
      <c r="I9" s="149"/>
      <c r="J9" s="150"/>
      <c r="K9" s="196"/>
      <c r="L9" s="196"/>
      <c r="M9" s="196"/>
      <c r="N9" s="196"/>
      <c r="O9" s="196"/>
      <c r="P9" s="196"/>
      <c r="Q9" s="197" t="s">
        <v>118</v>
      </c>
      <c r="R9" s="197"/>
      <c r="S9" s="35">
        <v>10</v>
      </c>
      <c r="T9" s="35">
        <v>30</v>
      </c>
      <c r="U9" s="196"/>
      <c r="V9" s="196"/>
      <c r="W9" s="148"/>
      <c r="X9" s="149"/>
      <c r="Y9" s="149"/>
      <c r="Z9" s="150"/>
      <c r="AA9" s="196"/>
      <c r="AB9" s="196"/>
      <c r="AC9" s="196"/>
      <c r="AD9" s="196"/>
      <c r="AE9" s="196"/>
      <c r="AF9" s="197" t="s">
        <v>118</v>
      </c>
      <c r="AG9" s="197"/>
      <c r="AH9" s="35">
        <v>10</v>
      </c>
      <c r="AI9" s="35">
        <v>30</v>
      </c>
      <c r="AJ9" s="171"/>
      <c r="AK9" s="171"/>
      <c r="AL9" s="148"/>
      <c r="AM9" s="149"/>
      <c r="AN9" s="149"/>
      <c r="AO9" s="150"/>
      <c r="AP9" s="148"/>
      <c r="AQ9" s="149"/>
      <c r="AR9" s="150"/>
      <c r="AS9" s="171"/>
      <c r="AT9" s="135"/>
      <c r="AU9" s="135"/>
      <c r="AV9" s="171"/>
      <c r="AW9" s="171"/>
      <c r="AX9" s="148"/>
      <c r="AY9" s="149"/>
      <c r="AZ9" s="150"/>
    </row>
    <row r="10" spans="1:52" ht="20.399999999999999" customHeight="1" thickTop="1" thickBot="1" x14ac:dyDescent="0.3">
      <c r="A10" s="197"/>
      <c r="B10" s="197"/>
      <c r="C10" s="35">
        <v>105</v>
      </c>
      <c r="D10" s="35">
        <v>165</v>
      </c>
      <c r="E10" s="195"/>
      <c r="F10" s="195"/>
      <c r="G10" s="143"/>
      <c r="H10" s="144"/>
      <c r="I10" s="144"/>
      <c r="J10" s="145"/>
      <c r="K10" s="195"/>
      <c r="L10" s="195"/>
      <c r="M10" s="195"/>
      <c r="N10" s="195"/>
      <c r="O10" s="195"/>
      <c r="P10" s="195"/>
      <c r="Q10" s="197"/>
      <c r="R10" s="197"/>
      <c r="S10" s="35">
        <v>70</v>
      </c>
      <c r="T10" s="35">
        <v>110</v>
      </c>
      <c r="U10" s="195"/>
      <c r="V10" s="195"/>
      <c r="W10" s="143"/>
      <c r="X10" s="144"/>
      <c r="Y10" s="144"/>
      <c r="Z10" s="145"/>
      <c r="AA10" s="195"/>
      <c r="AB10" s="195"/>
      <c r="AC10" s="195"/>
      <c r="AD10" s="195"/>
      <c r="AE10" s="195"/>
      <c r="AF10" s="197"/>
      <c r="AG10" s="197"/>
      <c r="AH10" s="35">
        <v>70</v>
      </c>
      <c r="AI10" s="35">
        <v>110</v>
      </c>
      <c r="AJ10" s="170"/>
      <c r="AK10" s="170"/>
      <c r="AL10" s="143"/>
      <c r="AM10" s="144"/>
      <c r="AN10" s="144"/>
      <c r="AO10" s="145"/>
      <c r="AP10" s="143"/>
      <c r="AQ10" s="144"/>
      <c r="AR10" s="145"/>
      <c r="AS10" s="170"/>
      <c r="AT10" s="135"/>
      <c r="AU10" s="135"/>
      <c r="AV10" s="170"/>
      <c r="AW10" s="170"/>
      <c r="AX10" s="143"/>
      <c r="AY10" s="144"/>
      <c r="AZ10" s="145"/>
    </row>
    <row r="11" spans="1:52" ht="20.399999999999999" customHeight="1" thickTop="1" thickBot="1" x14ac:dyDescent="0.3">
      <c r="A11" s="207" t="s">
        <v>119</v>
      </c>
      <c r="B11" s="207"/>
      <c r="C11" s="203" t="str">
        <f>IF(C3&lt;2,"允许连发（n连发所消耗的行动力就是2n）",IF(C3&lt;3,"连发消耗行动力减半（n连发所消耗的行动力就是1+n）",IF(C3&lt;4,"连发消耗行动力减半（n连发所消耗的行动力就是1+n）,允许跨魔法连发",IF(C3&lt;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D11" s="203"/>
      <c r="E11" s="196"/>
      <c r="F11" s="196"/>
      <c r="G11" s="148"/>
      <c r="H11" s="149"/>
      <c r="I11" s="149"/>
      <c r="J11" s="150"/>
      <c r="K11" s="196"/>
      <c r="L11" s="196"/>
      <c r="M11" s="196"/>
      <c r="N11" s="196"/>
      <c r="O11" s="196"/>
      <c r="P11" s="196"/>
      <c r="Q11" s="207" t="s">
        <v>125</v>
      </c>
      <c r="R11" s="207"/>
      <c r="S11" s="203" t="str">
        <f>IF(S3&lt;2,"抵消检定值超过阈值的惩罚、魔法效果+0.5倍",IF(S3&lt;3,"抵消检定值超过阈值的惩罚、魔法效果+0.5倍、射程+3，作用目标数+1",IF(S3&lt;4,"抵消检定值超过阈值的惩罚、魔法效果+0.5倍、射程+3，作用目标数+1、有效范围+1，buff持续时间+1.0倍",IF(S3&lt;5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T11" s="203"/>
      <c r="U11" s="196"/>
      <c r="V11" s="196"/>
      <c r="W11" s="148"/>
      <c r="X11" s="149"/>
      <c r="Y11" s="149"/>
      <c r="Z11" s="150"/>
      <c r="AA11" s="196"/>
      <c r="AB11" s="196"/>
      <c r="AC11" s="196"/>
      <c r="AD11" s="196"/>
      <c r="AE11" s="196"/>
      <c r="AF11" s="207" t="s">
        <v>129</v>
      </c>
      <c r="AG11" s="207"/>
      <c r="AH11" s="203" t="str">
        <f>IF(AH3&lt;2,"无",IF(AH3&lt;3,"第二个及第二个以上的魔法效果只消耗1行动点",IF(AH3&lt;4,"第二个及第二个以上的魔法效果只消耗1行动点、所有魔法效果消耗SP减半",IF(AH3&lt;5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AI11" s="203"/>
      <c r="AJ11" s="171"/>
      <c r="AK11" s="171"/>
      <c r="AL11" s="148"/>
      <c r="AM11" s="149"/>
      <c r="AN11" s="149"/>
      <c r="AO11" s="150"/>
      <c r="AP11" s="148"/>
      <c r="AQ11" s="149"/>
      <c r="AR11" s="150"/>
      <c r="AS11" s="171"/>
      <c r="AT11" s="135"/>
      <c r="AU11" s="135"/>
      <c r="AV11" s="171"/>
      <c r="AW11" s="171"/>
      <c r="AX11" s="148"/>
      <c r="AY11" s="149"/>
      <c r="AZ11" s="150"/>
    </row>
    <row r="12" spans="1:52" ht="20.399999999999999" customHeight="1" thickTop="1" thickBot="1" x14ac:dyDescent="0.3">
      <c r="A12" s="209"/>
      <c r="B12" s="209"/>
      <c r="C12" s="123"/>
      <c r="D12" s="123"/>
      <c r="E12" s="195"/>
      <c r="F12" s="195"/>
      <c r="G12" s="143"/>
      <c r="H12" s="144"/>
      <c r="I12" s="144"/>
      <c r="J12" s="145"/>
      <c r="K12" s="195"/>
      <c r="L12" s="195"/>
      <c r="M12" s="195"/>
      <c r="N12" s="195"/>
      <c r="O12" s="195"/>
      <c r="P12" s="195"/>
      <c r="Q12" s="209"/>
      <c r="R12" s="209"/>
      <c r="S12" s="123"/>
      <c r="T12" s="123"/>
      <c r="U12" s="195"/>
      <c r="V12" s="195"/>
      <c r="W12" s="143"/>
      <c r="X12" s="144"/>
      <c r="Y12" s="144"/>
      <c r="Z12" s="145"/>
      <c r="AA12" s="195"/>
      <c r="AB12" s="195"/>
      <c r="AC12" s="195"/>
      <c r="AD12" s="195"/>
      <c r="AE12" s="195"/>
      <c r="AF12" s="209"/>
      <c r="AG12" s="209"/>
      <c r="AH12" s="123"/>
      <c r="AI12" s="123"/>
      <c r="AJ12" s="170"/>
      <c r="AK12" s="170"/>
      <c r="AL12" s="143"/>
      <c r="AM12" s="144"/>
      <c r="AN12" s="144"/>
      <c r="AO12" s="145"/>
      <c r="AP12" s="143"/>
      <c r="AQ12" s="144"/>
      <c r="AR12" s="145"/>
      <c r="AS12" s="170"/>
      <c r="AT12" s="135"/>
      <c r="AU12" s="135"/>
      <c r="AV12" s="170"/>
      <c r="AW12" s="170"/>
      <c r="AX12" s="143"/>
      <c r="AY12" s="144"/>
      <c r="AZ12" s="145"/>
    </row>
    <row r="13" spans="1:52" ht="20.399999999999999" customHeight="1" thickTop="1" thickBot="1" x14ac:dyDescent="0.3">
      <c r="A13" s="209"/>
      <c r="B13" s="209"/>
      <c r="C13" s="123"/>
      <c r="D13" s="123"/>
      <c r="E13" s="196"/>
      <c r="F13" s="196"/>
      <c r="G13" s="148"/>
      <c r="H13" s="149"/>
      <c r="I13" s="149"/>
      <c r="J13" s="150"/>
      <c r="K13" s="196"/>
      <c r="L13" s="196"/>
      <c r="M13" s="196"/>
      <c r="N13" s="196"/>
      <c r="O13" s="196"/>
      <c r="P13" s="196"/>
      <c r="Q13" s="209"/>
      <c r="R13" s="209"/>
      <c r="S13" s="123"/>
      <c r="T13" s="123"/>
      <c r="U13" s="196"/>
      <c r="V13" s="196"/>
      <c r="W13" s="148"/>
      <c r="X13" s="149"/>
      <c r="Y13" s="149"/>
      <c r="Z13" s="150"/>
      <c r="AA13" s="196"/>
      <c r="AB13" s="196"/>
      <c r="AC13" s="196"/>
      <c r="AD13" s="196"/>
      <c r="AE13" s="196"/>
      <c r="AF13" s="209"/>
      <c r="AG13" s="209"/>
      <c r="AH13" s="123"/>
      <c r="AI13" s="123"/>
      <c r="AJ13" s="171"/>
      <c r="AK13" s="171"/>
      <c r="AL13" s="148"/>
      <c r="AM13" s="149"/>
      <c r="AN13" s="149"/>
      <c r="AO13" s="150"/>
      <c r="AP13" s="148"/>
      <c r="AQ13" s="149"/>
      <c r="AR13" s="150"/>
      <c r="AS13" s="171"/>
      <c r="AT13" s="135"/>
      <c r="AU13" s="135"/>
      <c r="AV13" s="171"/>
      <c r="AW13" s="171"/>
      <c r="AX13" s="148"/>
      <c r="AY13" s="149"/>
      <c r="AZ13" s="150"/>
    </row>
    <row r="14" spans="1:52" ht="20.399999999999999" customHeight="1" thickTop="1" thickBot="1" x14ac:dyDescent="0.3">
      <c r="A14" s="209"/>
      <c r="B14" s="209"/>
      <c r="C14" s="123"/>
      <c r="D14" s="123"/>
      <c r="E14" s="195"/>
      <c r="F14" s="195"/>
      <c r="G14" s="143"/>
      <c r="H14" s="144"/>
      <c r="I14" s="144"/>
      <c r="J14" s="145"/>
      <c r="K14" s="195"/>
      <c r="L14" s="195"/>
      <c r="M14" s="195"/>
      <c r="N14" s="195"/>
      <c r="O14" s="195"/>
      <c r="P14" s="195"/>
      <c r="Q14" s="209"/>
      <c r="R14" s="209"/>
      <c r="S14" s="123"/>
      <c r="T14" s="123"/>
      <c r="U14" s="195"/>
      <c r="V14" s="195"/>
      <c r="W14" s="143"/>
      <c r="X14" s="144"/>
      <c r="Y14" s="144"/>
      <c r="Z14" s="145"/>
      <c r="AA14" s="195"/>
      <c r="AB14" s="195"/>
      <c r="AC14" s="195"/>
      <c r="AD14" s="195"/>
      <c r="AE14" s="195"/>
      <c r="AF14" s="209"/>
      <c r="AG14" s="209"/>
      <c r="AH14" s="123"/>
      <c r="AI14" s="123"/>
      <c r="AJ14" s="170"/>
      <c r="AK14" s="170"/>
      <c r="AL14" s="143"/>
      <c r="AM14" s="144"/>
      <c r="AN14" s="144"/>
      <c r="AO14" s="145"/>
      <c r="AP14" s="143"/>
      <c r="AQ14" s="144"/>
      <c r="AR14" s="145"/>
      <c r="AS14" s="170"/>
      <c r="AT14" s="135"/>
      <c r="AU14" s="135"/>
      <c r="AV14" s="170"/>
      <c r="AW14" s="170"/>
      <c r="AX14" s="143"/>
      <c r="AY14" s="144"/>
      <c r="AZ14" s="145"/>
    </row>
    <row r="15" spans="1:52" ht="20.399999999999999" customHeight="1" thickTop="1" thickBot="1" x14ac:dyDescent="0.3">
      <c r="A15" s="209"/>
      <c r="B15" s="209"/>
      <c r="C15" s="123"/>
      <c r="D15" s="123"/>
      <c r="E15" s="196"/>
      <c r="F15" s="196"/>
      <c r="G15" s="148"/>
      <c r="H15" s="149"/>
      <c r="I15" s="149"/>
      <c r="J15" s="150"/>
      <c r="K15" s="196"/>
      <c r="L15" s="196"/>
      <c r="M15" s="196"/>
      <c r="N15" s="196"/>
      <c r="O15" s="196"/>
      <c r="P15" s="196"/>
      <c r="Q15" s="209"/>
      <c r="R15" s="209"/>
      <c r="S15" s="123"/>
      <c r="T15" s="123"/>
      <c r="U15" s="196"/>
      <c r="V15" s="196"/>
      <c r="W15" s="148"/>
      <c r="X15" s="149"/>
      <c r="Y15" s="149"/>
      <c r="Z15" s="150"/>
      <c r="AA15" s="196"/>
      <c r="AB15" s="196"/>
      <c r="AC15" s="196"/>
      <c r="AD15" s="196"/>
      <c r="AE15" s="196"/>
      <c r="AF15" s="208"/>
      <c r="AG15" s="208"/>
      <c r="AH15" s="204"/>
      <c r="AI15" s="204"/>
      <c r="AJ15" s="171"/>
      <c r="AK15" s="171"/>
      <c r="AL15" s="148"/>
      <c r="AM15" s="149"/>
      <c r="AN15" s="149"/>
      <c r="AO15" s="150"/>
      <c r="AP15" s="148"/>
      <c r="AQ15" s="149"/>
      <c r="AR15" s="150"/>
      <c r="AS15" s="171"/>
      <c r="AT15" s="135"/>
      <c r="AU15" s="135"/>
      <c r="AV15" s="171"/>
      <c r="AW15" s="171"/>
      <c r="AX15" s="148"/>
      <c r="AY15" s="149"/>
      <c r="AZ15" s="150"/>
    </row>
    <row r="16" spans="1:52" ht="20.399999999999999" customHeight="1" thickTop="1" thickBot="1" x14ac:dyDescent="0.3">
      <c r="A16" s="208"/>
      <c r="B16" s="208"/>
      <c r="C16" s="204"/>
      <c r="D16" s="204"/>
      <c r="E16" s="195"/>
      <c r="F16" s="195"/>
      <c r="G16" s="143"/>
      <c r="H16" s="144"/>
      <c r="I16" s="144"/>
      <c r="J16" s="145"/>
      <c r="K16" s="195"/>
      <c r="L16" s="195"/>
      <c r="M16" s="195"/>
      <c r="N16" s="195"/>
      <c r="O16" s="195"/>
      <c r="P16" s="195"/>
      <c r="Q16" s="208"/>
      <c r="R16" s="208"/>
      <c r="S16" s="204"/>
      <c r="T16" s="204"/>
      <c r="U16" s="195"/>
      <c r="V16" s="195"/>
      <c r="W16" s="143"/>
      <c r="X16" s="144"/>
      <c r="Y16" s="144"/>
      <c r="Z16" s="145"/>
      <c r="AA16" s="195"/>
      <c r="AB16" s="195"/>
      <c r="AC16" s="195"/>
      <c r="AD16" s="195"/>
      <c r="AE16" s="195"/>
      <c r="AF16" s="207" t="s">
        <v>120</v>
      </c>
      <c r="AG16" s="207"/>
      <c r="AH16" s="203" t="s">
        <v>130</v>
      </c>
      <c r="AI16" s="203"/>
      <c r="AJ16" s="170"/>
      <c r="AK16" s="170"/>
      <c r="AL16" s="143"/>
      <c r="AM16" s="144"/>
      <c r="AN16" s="144"/>
      <c r="AO16" s="145"/>
      <c r="AP16" s="143"/>
      <c r="AQ16" s="144"/>
      <c r="AR16" s="145"/>
      <c r="AS16" s="170"/>
      <c r="AT16" s="135"/>
      <c r="AU16" s="135"/>
      <c r="AV16" s="170"/>
      <c r="AW16" s="170"/>
      <c r="AX16" s="143"/>
      <c r="AY16" s="144"/>
      <c r="AZ16" s="145"/>
    </row>
    <row r="17" spans="1:52" ht="20.399999999999999" customHeight="1" thickTop="1" thickBot="1" x14ac:dyDescent="0.3">
      <c r="A17" s="197" t="s">
        <v>120</v>
      </c>
      <c r="B17" s="197"/>
      <c r="C17" s="198" t="s">
        <v>121</v>
      </c>
      <c r="D17" s="198"/>
      <c r="E17" s="196"/>
      <c r="F17" s="196"/>
      <c r="G17" s="148"/>
      <c r="H17" s="149"/>
      <c r="I17" s="149"/>
      <c r="J17" s="150"/>
      <c r="K17" s="196"/>
      <c r="L17" s="196"/>
      <c r="M17" s="196"/>
      <c r="N17" s="196"/>
      <c r="O17" s="196"/>
      <c r="P17" s="196"/>
      <c r="Q17" s="197" t="s">
        <v>139</v>
      </c>
      <c r="R17" s="197"/>
      <c r="S17" s="210">
        <f ca="1">AVERAGE(总表!K3,总表!K5,总表!K7,总表!K9,总表!K11)/10</f>
        <v>4.2</v>
      </c>
      <c r="T17" s="210"/>
      <c r="U17" s="196"/>
      <c r="V17" s="196"/>
      <c r="W17" s="148"/>
      <c r="X17" s="149"/>
      <c r="Y17" s="149"/>
      <c r="Z17" s="150"/>
      <c r="AA17" s="196"/>
      <c r="AB17" s="196"/>
      <c r="AC17" s="196"/>
      <c r="AD17" s="196"/>
      <c r="AE17" s="196"/>
      <c r="AF17" s="209"/>
      <c r="AG17" s="209"/>
      <c r="AH17" s="123"/>
      <c r="AI17" s="123"/>
      <c r="AJ17" s="171"/>
      <c r="AK17" s="171"/>
      <c r="AL17" s="148"/>
      <c r="AM17" s="149"/>
      <c r="AN17" s="149"/>
      <c r="AO17" s="150"/>
      <c r="AP17" s="148"/>
      <c r="AQ17" s="149"/>
      <c r="AR17" s="150"/>
      <c r="AS17" s="171"/>
      <c r="AT17" s="135"/>
      <c r="AU17" s="135"/>
      <c r="AV17" s="171"/>
      <c r="AW17" s="171"/>
      <c r="AX17" s="148"/>
      <c r="AY17" s="149"/>
      <c r="AZ17" s="150"/>
    </row>
    <row r="18" spans="1:52" ht="20.399999999999999" customHeight="1" thickTop="1" thickBot="1" x14ac:dyDescent="0.3">
      <c r="A18" s="197"/>
      <c r="B18" s="197"/>
      <c r="C18" s="198"/>
      <c r="D18" s="198"/>
      <c r="E18" s="195"/>
      <c r="F18" s="195"/>
      <c r="G18" s="143"/>
      <c r="H18" s="144"/>
      <c r="I18" s="144"/>
      <c r="J18" s="145"/>
      <c r="K18" s="195"/>
      <c r="L18" s="195"/>
      <c r="M18" s="195"/>
      <c r="N18" s="195"/>
      <c r="O18" s="195"/>
      <c r="P18" s="195"/>
      <c r="Q18" s="197"/>
      <c r="R18" s="197"/>
      <c r="S18" s="210"/>
      <c r="T18" s="210"/>
      <c r="U18" s="195"/>
      <c r="V18" s="195"/>
      <c r="W18" s="143"/>
      <c r="X18" s="144"/>
      <c r="Y18" s="144"/>
      <c r="Z18" s="145"/>
      <c r="AA18" s="195"/>
      <c r="AB18" s="195"/>
      <c r="AC18" s="195"/>
      <c r="AD18" s="195"/>
      <c r="AE18" s="195"/>
      <c r="AF18" s="209"/>
      <c r="AG18" s="209"/>
      <c r="AH18" s="123"/>
      <c r="AI18" s="123"/>
      <c r="AJ18" s="170"/>
      <c r="AK18" s="170"/>
      <c r="AL18" s="143"/>
      <c r="AM18" s="144"/>
      <c r="AN18" s="144"/>
      <c r="AO18" s="145"/>
      <c r="AP18" s="143"/>
      <c r="AQ18" s="144"/>
      <c r="AR18" s="145"/>
      <c r="AS18" s="170"/>
      <c r="AT18" s="135"/>
      <c r="AU18" s="135"/>
      <c r="AV18" s="170"/>
      <c r="AW18" s="170"/>
      <c r="AX18" s="143"/>
      <c r="AY18" s="144"/>
      <c r="AZ18" s="145"/>
    </row>
    <row r="19" spans="1:52" ht="20.399999999999999" customHeight="1" thickTop="1" thickBot="1" x14ac:dyDescent="0.3">
      <c r="E19" s="196"/>
      <c r="F19" s="196"/>
      <c r="G19" s="148"/>
      <c r="H19" s="149"/>
      <c r="I19" s="149"/>
      <c r="J19" s="150"/>
      <c r="K19" s="196"/>
      <c r="L19" s="196"/>
      <c r="M19" s="196"/>
      <c r="N19" s="196"/>
      <c r="O19" s="196"/>
      <c r="P19" s="196"/>
      <c r="Q19" s="197" t="s">
        <v>396</v>
      </c>
      <c r="R19" s="197"/>
      <c r="S19" s="198" t="str">
        <f>IF(S3&lt;2,"不允许",IF(S3&lt;3,"允许免费获得一重过载",IF(S3&lt;4,"允许免费获得一重过载",IF(S3&lt;5,"允许免费获得二重过载","允许免费获得二重过载"))))</f>
        <v>不允许</v>
      </c>
      <c r="T19" s="198"/>
      <c r="U19" s="196"/>
      <c r="V19" s="196"/>
      <c r="W19" s="148"/>
      <c r="X19" s="149"/>
      <c r="Y19" s="149"/>
      <c r="Z19" s="150"/>
      <c r="AA19" s="196"/>
      <c r="AB19" s="196"/>
      <c r="AC19" s="196"/>
      <c r="AD19" s="196"/>
      <c r="AE19" s="196"/>
      <c r="AF19" s="208"/>
      <c r="AG19" s="208"/>
      <c r="AH19" s="204"/>
      <c r="AI19" s="204"/>
      <c r="AJ19" s="171"/>
      <c r="AK19" s="171"/>
      <c r="AL19" s="148"/>
      <c r="AM19" s="149"/>
      <c r="AN19" s="149"/>
      <c r="AO19" s="150"/>
      <c r="AP19" s="148"/>
      <c r="AQ19" s="149"/>
      <c r="AR19" s="150"/>
      <c r="AS19" s="171"/>
      <c r="AT19" s="135"/>
      <c r="AU19" s="135"/>
      <c r="AV19" s="171"/>
      <c r="AW19" s="171"/>
      <c r="AX19" s="148"/>
      <c r="AY19" s="149"/>
      <c r="AZ19" s="150"/>
    </row>
    <row r="20" spans="1:52" ht="20.399999999999999" customHeight="1" thickTop="1" thickBot="1" x14ac:dyDescent="0.3">
      <c r="Q20" s="197"/>
      <c r="R20" s="197"/>
      <c r="S20" s="198"/>
      <c r="T20" s="198"/>
    </row>
    <row r="21" spans="1:52" ht="20.399999999999999" customHeight="1" thickTop="1" thickBot="1" x14ac:dyDescent="0.3">
      <c r="Q21" s="197" t="s">
        <v>120</v>
      </c>
      <c r="R21" s="197"/>
      <c r="S21" s="198" t="s">
        <v>121</v>
      </c>
      <c r="T21" s="198"/>
    </row>
    <row r="22" spans="1:52" ht="20.399999999999999" customHeight="1" thickTop="1" thickBot="1" x14ac:dyDescent="0.3">
      <c r="Q22" s="197"/>
      <c r="R22" s="197"/>
      <c r="S22" s="198"/>
      <c r="T22" s="198"/>
    </row>
    <row r="23" spans="1:52" ht="20.399999999999999" customHeight="1" thickTop="1" x14ac:dyDescent="0.25"/>
    <row r="24" spans="1:52" ht="20.399999999999999" customHeight="1" x14ac:dyDescent="0.25"/>
    <row r="25" spans="1:52" ht="20.399999999999999" customHeight="1" x14ac:dyDescent="0.25"/>
    <row r="26" spans="1:52" ht="20.399999999999999" customHeight="1" x14ac:dyDescent="0.25"/>
    <row r="27" spans="1:52" ht="20.399999999999999" customHeight="1" x14ac:dyDescent="0.25"/>
    <row r="28" spans="1:52" ht="20.399999999999999" customHeight="1" x14ac:dyDescent="0.25"/>
    <row r="29" spans="1:52" ht="20.399999999999999" customHeight="1" x14ac:dyDescent="0.25"/>
    <row r="30" spans="1:52" ht="20.399999999999999" customHeight="1" x14ac:dyDescent="0.25"/>
  </sheetData>
  <mergeCells count="260">
    <mergeCell ref="E14:E15"/>
    <mergeCell ref="F14:F15"/>
    <mergeCell ref="G14:J15"/>
    <mergeCell ref="K14:K15"/>
    <mergeCell ref="L14:L15"/>
    <mergeCell ref="P16:P17"/>
    <mergeCell ref="N18:N19"/>
    <mergeCell ref="O18:O19"/>
    <mergeCell ref="P18:P19"/>
    <mergeCell ref="F18:F19"/>
    <mergeCell ref="G18:J19"/>
    <mergeCell ref="K18:K19"/>
    <mergeCell ref="L18:L19"/>
    <mergeCell ref="O16:O17"/>
    <mergeCell ref="K12:K13"/>
    <mergeCell ref="L12:L13"/>
    <mergeCell ref="M14:M15"/>
    <mergeCell ref="N14:N15"/>
    <mergeCell ref="O14:O15"/>
    <mergeCell ref="P14:P15"/>
    <mergeCell ref="O10:O11"/>
    <mergeCell ref="P10:P11"/>
    <mergeCell ref="M12:M13"/>
    <mergeCell ref="N12:N13"/>
    <mergeCell ref="M10:M11"/>
    <mergeCell ref="O12:O13"/>
    <mergeCell ref="P12:P13"/>
    <mergeCell ref="P4:P5"/>
    <mergeCell ref="O6:O7"/>
    <mergeCell ref="P6:P7"/>
    <mergeCell ref="E8:E9"/>
    <mergeCell ref="F8:F9"/>
    <mergeCell ref="G8:J9"/>
    <mergeCell ref="K8:K9"/>
    <mergeCell ref="L8:L9"/>
    <mergeCell ref="M8:M9"/>
    <mergeCell ref="N8:N9"/>
    <mergeCell ref="O8:O9"/>
    <mergeCell ref="P8:P9"/>
    <mergeCell ref="E6:E7"/>
    <mergeCell ref="F6:F7"/>
    <mergeCell ref="G6:J7"/>
    <mergeCell ref="K6:K7"/>
    <mergeCell ref="L6:L7"/>
    <mergeCell ref="A11:B16"/>
    <mergeCell ref="C11:D16"/>
    <mergeCell ref="M6:M7"/>
    <mergeCell ref="N6:N7"/>
    <mergeCell ref="A17:B18"/>
    <mergeCell ref="C17:D18"/>
    <mergeCell ref="N10:N11"/>
    <mergeCell ref="E16:E17"/>
    <mergeCell ref="F16:F17"/>
    <mergeCell ref="G16:J17"/>
    <mergeCell ref="K16:K17"/>
    <mergeCell ref="L16:L17"/>
    <mergeCell ref="M16:M17"/>
    <mergeCell ref="N16:N17"/>
    <mergeCell ref="M18:M19"/>
    <mergeCell ref="E18:E19"/>
    <mergeCell ref="E10:E11"/>
    <mergeCell ref="F10:F11"/>
    <mergeCell ref="G10:J11"/>
    <mergeCell ref="K10:K11"/>
    <mergeCell ref="L10:L11"/>
    <mergeCell ref="E12:E13"/>
    <mergeCell ref="F12:F13"/>
    <mergeCell ref="G12:J13"/>
    <mergeCell ref="Q1:T2"/>
    <mergeCell ref="Q3:R4"/>
    <mergeCell ref="S3:T4"/>
    <mergeCell ref="Q5:R6"/>
    <mergeCell ref="S5:T6"/>
    <mergeCell ref="A1:D2"/>
    <mergeCell ref="A9:B10"/>
    <mergeCell ref="A3:B4"/>
    <mergeCell ref="C3:D4"/>
    <mergeCell ref="A5:B6"/>
    <mergeCell ref="C5:D6"/>
    <mergeCell ref="A7:B8"/>
    <mergeCell ref="C7:D8"/>
    <mergeCell ref="E1:P2"/>
    <mergeCell ref="G3:J3"/>
    <mergeCell ref="L3:N3"/>
    <mergeCell ref="E4:E5"/>
    <mergeCell ref="F4:F5"/>
    <mergeCell ref="G4:J5"/>
    <mergeCell ref="K4:K5"/>
    <mergeCell ref="L4:L5"/>
    <mergeCell ref="M4:M5"/>
    <mergeCell ref="N4:N5"/>
    <mergeCell ref="O4:O5"/>
    <mergeCell ref="AF16:AG19"/>
    <mergeCell ref="AH16:AI19"/>
    <mergeCell ref="U8:U9"/>
    <mergeCell ref="V8:V9"/>
    <mergeCell ref="W8:Z9"/>
    <mergeCell ref="AA8:AA9"/>
    <mergeCell ref="AB8:AB9"/>
    <mergeCell ref="AC8:AC9"/>
    <mergeCell ref="AD8:AD9"/>
    <mergeCell ref="AE8:AE9"/>
    <mergeCell ref="U12:U13"/>
    <mergeCell ref="V12:V13"/>
    <mergeCell ref="W12:Z13"/>
    <mergeCell ref="AA12:AA13"/>
    <mergeCell ref="AB12:AB13"/>
    <mergeCell ref="AC12:AC13"/>
    <mergeCell ref="AD12:AD13"/>
    <mergeCell ref="AE12:AE13"/>
    <mergeCell ref="U10:U11"/>
    <mergeCell ref="V10:V11"/>
    <mergeCell ref="W10:Z11"/>
    <mergeCell ref="AA10:AA11"/>
    <mergeCell ref="AB10:AB11"/>
    <mergeCell ref="U18:U19"/>
    <mergeCell ref="Q17:R18"/>
    <mergeCell ref="S17:T18"/>
    <mergeCell ref="Q19:R20"/>
    <mergeCell ref="S19:T20"/>
    <mergeCell ref="Q21:R22"/>
    <mergeCell ref="S21:T22"/>
    <mergeCell ref="Q7:R8"/>
    <mergeCell ref="S7:T8"/>
    <mergeCell ref="Q9:R10"/>
    <mergeCell ref="Q11:R16"/>
    <mergeCell ref="S11:T16"/>
    <mergeCell ref="AV1:AZ2"/>
    <mergeCell ref="AX3:AZ3"/>
    <mergeCell ref="AV4:AV5"/>
    <mergeCell ref="AW4:AW5"/>
    <mergeCell ref="AX4:AZ5"/>
    <mergeCell ref="AV6:AV7"/>
    <mergeCell ref="AW6:AW7"/>
    <mergeCell ref="AX6:AZ7"/>
    <mergeCell ref="AV8:AV9"/>
    <mergeCell ref="AW8:AW9"/>
    <mergeCell ref="AX8:AZ9"/>
    <mergeCell ref="AL12:AO13"/>
    <mergeCell ref="AP12:AR13"/>
    <mergeCell ref="AS12:AS13"/>
    <mergeCell ref="AT12:AU13"/>
    <mergeCell ref="AJ10:AJ11"/>
    <mergeCell ref="AK10:AK11"/>
    <mergeCell ref="AL10:AO11"/>
    <mergeCell ref="AP10:AR11"/>
    <mergeCell ref="AS10:AS11"/>
    <mergeCell ref="AA4:AA5"/>
    <mergeCell ref="AB4:AB5"/>
    <mergeCell ref="AC4:AC5"/>
    <mergeCell ref="AD4:AD5"/>
    <mergeCell ref="U6:U7"/>
    <mergeCell ref="AV16:AV17"/>
    <mergeCell ref="AW16:AW17"/>
    <mergeCell ref="AX16:AZ17"/>
    <mergeCell ref="AV18:AV19"/>
    <mergeCell ref="AW18:AW19"/>
    <mergeCell ref="AX18:AZ19"/>
    <mergeCell ref="AV12:AV13"/>
    <mergeCell ref="AW12:AW13"/>
    <mergeCell ref="AX12:AZ13"/>
    <mergeCell ref="AV14:AV15"/>
    <mergeCell ref="AW14:AW15"/>
    <mergeCell ref="AX14:AZ15"/>
    <mergeCell ref="AV10:AV11"/>
    <mergeCell ref="AW10:AW11"/>
    <mergeCell ref="AX10:AZ11"/>
    <mergeCell ref="AF7:AG8"/>
    <mergeCell ref="AH7:AI8"/>
    <mergeCell ref="AF9:AG10"/>
    <mergeCell ref="AF11:AG15"/>
    <mergeCell ref="V18:V19"/>
    <mergeCell ref="W18:Z19"/>
    <mergeCell ref="AA18:AA19"/>
    <mergeCell ref="AB18:AB19"/>
    <mergeCell ref="AC14:AC15"/>
    <mergeCell ref="AD14:AD15"/>
    <mergeCell ref="AE14:AE15"/>
    <mergeCell ref="U16:U17"/>
    <mergeCell ref="V16:V17"/>
    <mergeCell ref="W16:Z17"/>
    <mergeCell ref="AA16:AA17"/>
    <mergeCell ref="AB16:AB17"/>
    <mergeCell ref="AC16:AC17"/>
    <mergeCell ref="AD16:AD17"/>
    <mergeCell ref="AE16:AE17"/>
    <mergeCell ref="U14:U15"/>
    <mergeCell ref="V14:V15"/>
    <mergeCell ref="W14:Z15"/>
    <mergeCell ref="AA14:AA15"/>
    <mergeCell ref="AB14:AB15"/>
    <mergeCell ref="AC18:AC19"/>
    <mergeCell ref="AD18:AD19"/>
    <mergeCell ref="AE18:AE19"/>
    <mergeCell ref="AC10:AC11"/>
    <mergeCell ref="AD10:AD11"/>
    <mergeCell ref="AE10:AE11"/>
    <mergeCell ref="AC6:AC7"/>
    <mergeCell ref="AD6:AD7"/>
    <mergeCell ref="AE6:AE7"/>
    <mergeCell ref="AJ1:AU2"/>
    <mergeCell ref="AL3:AO3"/>
    <mergeCell ref="AP3:AR3"/>
    <mergeCell ref="AT3:AU3"/>
    <mergeCell ref="AJ4:AJ5"/>
    <mergeCell ref="AK4:AK5"/>
    <mergeCell ref="AL4:AO5"/>
    <mergeCell ref="AP4:AR5"/>
    <mergeCell ref="AS4:AS5"/>
    <mergeCell ref="AT4:AU5"/>
    <mergeCell ref="AB3:AD3"/>
    <mergeCell ref="AH11:AI15"/>
    <mergeCell ref="AF1:AI2"/>
    <mergeCell ref="AF3:AG4"/>
    <mergeCell ref="AH3:AI4"/>
    <mergeCell ref="AT10:AU11"/>
    <mergeCell ref="AJ12:AJ13"/>
    <mergeCell ref="AK12:AK13"/>
    <mergeCell ref="U1:AE2"/>
    <mergeCell ref="W3:Z3"/>
    <mergeCell ref="AP6:AR7"/>
    <mergeCell ref="AS6:AS7"/>
    <mergeCell ref="AT6:AU7"/>
    <mergeCell ref="AJ8:AJ9"/>
    <mergeCell ref="AK8:AK9"/>
    <mergeCell ref="AL8:AO9"/>
    <mergeCell ref="AP8:AR9"/>
    <mergeCell ref="AS8:AS9"/>
    <mergeCell ref="AT8:AU9"/>
    <mergeCell ref="V6:V7"/>
    <mergeCell ref="W6:Z7"/>
    <mergeCell ref="AA6:AA7"/>
    <mergeCell ref="AB6:AB7"/>
    <mergeCell ref="AE4:AE5"/>
    <mergeCell ref="AF5:AG6"/>
    <mergeCell ref="AH5:AI6"/>
    <mergeCell ref="AJ6:AJ7"/>
    <mergeCell ref="AK6:AK7"/>
    <mergeCell ref="AL6:AO7"/>
    <mergeCell ref="U4:U5"/>
    <mergeCell ref="V4:V5"/>
    <mergeCell ref="W4:Z5"/>
    <mergeCell ref="AT18:AU19"/>
    <mergeCell ref="AJ18:AJ19"/>
    <mergeCell ref="AK18:AK19"/>
    <mergeCell ref="AL18:AO19"/>
    <mergeCell ref="AP18:AR19"/>
    <mergeCell ref="AS18:AS19"/>
    <mergeCell ref="AT14:AU15"/>
    <mergeCell ref="AJ16:AJ17"/>
    <mergeCell ref="AK16:AK17"/>
    <mergeCell ref="AL16:AO17"/>
    <mergeCell ref="AP16:AR17"/>
    <mergeCell ref="AS16:AS17"/>
    <mergeCell ref="AT16:AU17"/>
    <mergeCell ref="AJ14:AJ15"/>
    <mergeCell ref="AK14:AK15"/>
    <mergeCell ref="AL14:AO15"/>
    <mergeCell ref="AP14:AR15"/>
    <mergeCell ref="AS14:AS15"/>
  </mergeCells>
  <phoneticPr fontId="1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A1808-8FD1-42EA-BC7D-FC3BBF040CA2}">
          <x14:formula1>
            <xm:f>总表!$D$29:$D$30</xm:f>
          </x14:formula1>
          <xm:sqref>C5:D6 S5:T6 AH5:AI6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ECB2E-4694-41D5-975C-122D0BE51A28}">
  <sheetPr codeName="Sheet8"/>
  <dimension ref="A1:U17"/>
  <sheetViews>
    <sheetView workbookViewId="0">
      <selection activeCell="F6" sqref="F6:Q7"/>
    </sheetView>
  </sheetViews>
  <sheetFormatPr defaultColWidth="9.77734375" defaultRowHeight="20.399999999999999" customHeight="1" x14ac:dyDescent="0.25"/>
  <sheetData>
    <row r="1" spans="1:21" ht="20.399999999999999" customHeight="1" thickBot="1" x14ac:dyDescent="0.4">
      <c r="A1" s="83" t="s">
        <v>292</v>
      </c>
      <c r="B1" s="83"/>
      <c r="C1" s="83"/>
      <c r="D1" s="83"/>
      <c r="F1" s="215" t="s">
        <v>295</v>
      </c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43"/>
      <c r="S1" s="43"/>
      <c r="T1" s="43"/>
      <c r="U1" s="43"/>
    </row>
    <row r="2" spans="1:21" ht="20.399999999999999" customHeight="1" thickTop="1" thickBot="1" x14ac:dyDescent="0.3">
      <c r="A2" s="33" t="s">
        <v>156</v>
      </c>
      <c r="B2" s="99" t="s">
        <v>157</v>
      </c>
      <c r="C2" s="99"/>
      <c r="D2" s="99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43"/>
      <c r="S2" s="43"/>
      <c r="T2" s="43"/>
      <c r="U2" s="43"/>
    </row>
    <row r="3" spans="1:21" ht="20.399999999999999" customHeight="1" thickTop="1" thickBot="1" x14ac:dyDescent="0.3">
      <c r="A3" s="33" t="s">
        <v>160</v>
      </c>
      <c r="B3" s="99">
        <v>7</v>
      </c>
      <c r="C3" s="99" t="s">
        <v>159</v>
      </c>
      <c r="D3" s="99" t="s">
        <v>185</v>
      </c>
      <c r="F3" s="34" t="s">
        <v>296</v>
      </c>
      <c r="G3" s="34" t="s">
        <v>297</v>
      </c>
      <c r="H3" s="211" t="s">
        <v>298</v>
      </c>
      <c r="I3" s="211"/>
      <c r="J3" s="211"/>
      <c r="K3" s="211"/>
      <c r="L3" s="211"/>
      <c r="M3" s="211" t="s">
        <v>299</v>
      </c>
      <c r="N3" s="211"/>
      <c r="O3" s="211"/>
      <c r="P3" s="211"/>
      <c r="Q3" s="211"/>
      <c r="R3" s="43"/>
      <c r="S3" s="43"/>
      <c r="T3" s="43"/>
      <c r="U3" s="43"/>
    </row>
    <row r="4" spans="1:21" ht="20.399999999999999" customHeight="1" thickTop="1" thickBot="1" x14ac:dyDescent="0.3">
      <c r="A4" s="33" t="s">
        <v>158</v>
      </c>
      <c r="B4" s="99" t="s">
        <v>186</v>
      </c>
      <c r="C4" s="99"/>
      <c r="D4" s="99"/>
      <c r="F4" s="203" t="s">
        <v>113</v>
      </c>
      <c r="G4" s="203">
        <v>2</v>
      </c>
      <c r="H4" s="203" t="s">
        <v>305</v>
      </c>
      <c r="I4" s="203"/>
      <c r="J4" s="203"/>
      <c r="K4" s="203"/>
      <c r="L4" s="203"/>
      <c r="M4" s="203" t="s">
        <v>300</v>
      </c>
      <c r="N4" s="203"/>
      <c r="O4" s="203"/>
      <c r="P4" s="203"/>
      <c r="Q4" s="203"/>
      <c r="R4" s="43"/>
      <c r="S4" s="43"/>
      <c r="T4" s="43"/>
      <c r="U4" s="43"/>
    </row>
    <row r="5" spans="1:21" ht="20.399999999999999" customHeight="1" thickTop="1" thickBot="1" x14ac:dyDescent="0.3">
      <c r="A5" s="24" t="s">
        <v>159</v>
      </c>
      <c r="B5" s="99" t="s">
        <v>185</v>
      </c>
      <c r="C5" s="99"/>
      <c r="D5" s="99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43"/>
      <c r="S5" s="43"/>
      <c r="T5" s="43"/>
      <c r="U5" s="43"/>
    </row>
    <row r="6" spans="1:21" ht="20.399999999999999" customHeight="1" thickTop="1" x14ac:dyDescent="0.25">
      <c r="A6" s="212" t="s">
        <v>293</v>
      </c>
      <c r="B6" s="214" t="s">
        <v>294</v>
      </c>
      <c r="C6" s="214"/>
      <c r="D6" s="214"/>
      <c r="F6" s="215" t="s">
        <v>301</v>
      </c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43"/>
      <c r="S6" s="43"/>
      <c r="T6" s="43"/>
      <c r="U6" s="43"/>
    </row>
    <row r="7" spans="1:21" ht="20.399999999999999" customHeight="1" thickBot="1" x14ac:dyDescent="0.3">
      <c r="A7" s="213"/>
      <c r="B7" s="99"/>
      <c r="C7" s="99"/>
      <c r="D7" s="99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43"/>
      <c r="S7" s="43"/>
      <c r="T7" s="43"/>
      <c r="U7" s="43"/>
    </row>
    <row r="8" spans="1:21" ht="20.399999999999999" customHeight="1" thickTop="1" thickBot="1" x14ac:dyDescent="0.3">
      <c r="F8" s="34" t="s">
        <v>296</v>
      </c>
      <c r="G8" s="34" t="s">
        <v>297</v>
      </c>
      <c r="H8" s="211" t="s">
        <v>298</v>
      </c>
      <c r="I8" s="211"/>
      <c r="J8" s="211"/>
      <c r="K8" s="211"/>
      <c r="L8" s="211"/>
      <c r="M8" s="211" t="s">
        <v>299</v>
      </c>
      <c r="N8" s="211"/>
      <c r="O8" s="211"/>
      <c r="P8" s="211"/>
      <c r="Q8" s="211"/>
      <c r="R8" s="43"/>
      <c r="S8" s="43"/>
      <c r="T8" s="43"/>
      <c r="U8" s="43"/>
    </row>
    <row r="9" spans="1:21" ht="20.399999999999999" customHeight="1" thickTop="1" x14ac:dyDescent="0.25">
      <c r="F9" s="203" t="s">
        <v>302</v>
      </c>
      <c r="G9" s="203">
        <v>5</v>
      </c>
      <c r="H9" s="203" t="s">
        <v>306</v>
      </c>
      <c r="I9" s="203"/>
      <c r="J9" s="203"/>
      <c r="K9" s="203"/>
      <c r="L9" s="203"/>
      <c r="M9" s="203" t="s">
        <v>304</v>
      </c>
      <c r="N9" s="203"/>
      <c r="O9" s="203"/>
      <c r="P9" s="203"/>
      <c r="Q9" s="203"/>
      <c r="R9" s="43"/>
      <c r="S9" s="43"/>
      <c r="T9" s="43"/>
      <c r="U9" s="43"/>
    </row>
    <row r="10" spans="1:21" ht="20.399999999999999" customHeight="1" thickBot="1" x14ac:dyDescent="0.3"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43"/>
      <c r="S10" s="43"/>
      <c r="T10" s="43"/>
      <c r="U10" s="43"/>
    </row>
    <row r="11" spans="1:21" ht="20.399999999999999" customHeight="1" thickTop="1" x14ac:dyDescent="0.25">
      <c r="F11" s="203" t="s">
        <v>303</v>
      </c>
      <c r="G11" s="203">
        <v>5</v>
      </c>
      <c r="H11" s="203" t="s">
        <v>307</v>
      </c>
      <c r="I11" s="203"/>
      <c r="J11" s="203"/>
      <c r="K11" s="203"/>
      <c r="L11" s="203"/>
      <c r="M11" s="203" t="s">
        <v>308</v>
      </c>
      <c r="N11" s="203"/>
      <c r="O11" s="203"/>
      <c r="P11" s="203"/>
      <c r="Q11" s="203"/>
      <c r="R11" s="43"/>
      <c r="S11" s="43"/>
      <c r="T11" s="43"/>
      <c r="U11" s="43"/>
    </row>
    <row r="12" spans="1:21" ht="20.399999999999999" customHeight="1" thickBot="1" x14ac:dyDescent="0.3"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43"/>
      <c r="S12" s="43"/>
      <c r="T12" s="43"/>
      <c r="U12" s="43"/>
    </row>
    <row r="13" spans="1:21" ht="20.399999999999999" customHeight="1" thickTop="1" x14ac:dyDescent="0.25"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43"/>
      <c r="S13" s="43"/>
      <c r="T13" s="43"/>
      <c r="U13" s="43"/>
    </row>
    <row r="14" spans="1:21" ht="20.399999999999999" customHeight="1" thickBot="1" x14ac:dyDescent="0.3"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43"/>
      <c r="S14" s="43"/>
      <c r="T14" s="43"/>
      <c r="U14" s="43"/>
    </row>
    <row r="15" spans="1:21" ht="20.399999999999999" customHeight="1" thickTop="1" x14ac:dyDescent="0.25"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43"/>
      <c r="S15" s="43"/>
      <c r="T15" s="43"/>
      <c r="U15" s="43"/>
    </row>
    <row r="16" spans="1:21" ht="20.399999999999999" customHeight="1" thickBot="1" x14ac:dyDescent="0.3"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43"/>
      <c r="S16" s="43"/>
      <c r="T16" s="43"/>
      <c r="U16" s="43"/>
    </row>
    <row r="17" spans="18:21" ht="20.399999999999999" customHeight="1" thickTop="1" x14ac:dyDescent="0.25">
      <c r="R17" s="43"/>
      <c r="S17" s="43"/>
      <c r="T17" s="43"/>
      <c r="U17" s="43"/>
    </row>
  </sheetData>
  <protectedRanges>
    <protectedRange sqref="B12 D3 B2:B8" name="角色基础信息区域"/>
  </protectedRanges>
  <mergeCells count="33">
    <mergeCell ref="A6:A7"/>
    <mergeCell ref="B6:D7"/>
    <mergeCell ref="F1:Q2"/>
    <mergeCell ref="H3:L3"/>
    <mergeCell ref="M3:Q3"/>
    <mergeCell ref="A1:D1"/>
    <mergeCell ref="B4:D4"/>
    <mergeCell ref="F4:F5"/>
    <mergeCell ref="G4:G5"/>
    <mergeCell ref="B5:D5"/>
    <mergeCell ref="B3:D3"/>
    <mergeCell ref="B2:D2"/>
    <mergeCell ref="H4:L5"/>
    <mergeCell ref="M4:Q5"/>
    <mergeCell ref="F6:Q7"/>
    <mergeCell ref="F9:F10"/>
    <mergeCell ref="G9:G10"/>
    <mergeCell ref="H9:L10"/>
    <mergeCell ref="M9:Q10"/>
    <mergeCell ref="H8:L8"/>
    <mergeCell ref="M8:Q8"/>
    <mergeCell ref="F15:F16"/>
    <mergeCell ref="G15:G16"/>
    <mergeCell ref="H15:L16"/>
    <mergeCell ref="M15:Q16"/>
    <mergeCell ref="F11:F12"/>
    <mergeCell ref="G11:G12"/>
    <mergeCell ref="H11:L12"/>
    <mergeCell ref="M11:Q12"/>
    <mergeCell ref="F13:F14"/>
    <mergeCell ref="G13:G14"/>
    <mergeCell ref="H13:L14"/>
    <mergeCell ref="M13:Q1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坐骑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2024-01-20T19:53:06Z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