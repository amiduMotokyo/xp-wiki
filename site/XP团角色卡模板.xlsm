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575DC40B-8E8B-4138-8D63-7C4974FFC422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4" r:id="rId12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" i="23" l="1"/>
  <c r="O24" i="23"/>
  <c r="B23" i="23"/>
  <c r="U1" i="23" s="1"/>
  <c r="O22" i="23"/>
  <c r="O20" i="23"/>
  <c r="O18" i="23"/>
  <c r="B18" i="23"/>
  <c r="C18" i="23" s="1"/>
  <c r="O16" i="23"/>
  <c r="O14" i="23"/>
  <c r="O12" i="23"/>
  <c r="O10" i="23"/>
  <c r="B9" i="23"/>
  <c r="D9" i="23" s="1"/>
  <c r="O8" i="23"/>
  <c r="O6" i="23"/>
  <c r="O4" i="23"/>
  <c r="B4" i="23"/>
  <c r="C4" i="23" s="1"/>
  <c r="O2" i="23"/>
  <c r="U34" i="5"/>
  <c r="U33" i="5"/>
  <c r="I13" i="18"/>
  <c r="I15" i="18" s="1"/>
  <c r="I17" i="18" s="1"/>
  <c r="I19" i="18" s="1"/>
  <c r="I21" i="18" s="1"/>
  <c r="I23" i="18" s="1"/>
  <c r="I25" i="18" s="1"/>
  <c r="I27" i="18" s="1"/>
  <c r="I29" i="18" s="1"/>
  <c r="I11" i="18"/>
  <c r="J5" i="18"/>
  <c r="E3" i="18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B18" i="1"/>
  <c r="B21" i="1"/>
  <c r="H18" i="1" a="1"/>
  <c r="K18" i="1" a="1"/>
  <c r="G19" i="1" a="1"/>
  <c r="G20" i="1" a="1"/>
  <c r="G17" i="1" a="1"/>
  <c r="H17" i="1" a="1"/>
  <c r="H5" i="1" a="1"/>
  <c r="H9" i="1" a="1"/>
  <c r="K20" i="1" a="1"/>
  <c r="U12" i="1" a="1"/>
  <c r="H13" i="1" a="1"/>
  <c r="K17" i="1" a="1"/>
  <c r="K19" i="1" a="1"/>
  <c r="N14" i="1"/>
  <c r="H20" i="1" a="1"/>
  <c r="H19" i="1" a="1"/>
  <c r="H22" i="1" a="1"/>
  <c r="H3" i="1" a="1"/>
  <c r="H7" i="1" a="1"/>
  <c r="G18" i="1" a="1"/>
  <c r="H11" i="1" a="1"/>
  <c r="G22" i="1" a="1"/>
  <c r="K22" i="1" a="1"/>
  <c r="C26" i="1" a="1"/>
  <c r="C36" i="1" l="1"/>
  <c r="D4" i="23"/>
  <c r="C23" i="23"/>
  <c r="D23" i="23"/>
  <c r="B16" i="23"/>
  <c r="D18" i="23"/>
  <c r="C9" i="23"/>
  <c r="D5" i="18"/>
  <c r="H3" i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J12" i="4" a="1"/>
  <c r="J5" i="4" a="1"/>
  <c r="U1" i="17" a="1"/>
  <c r="U1" i="17" l="1"/>
  <c r="J12" i="4"/>
  <c r="J5" i="4"/>
  <c r="Q1" i="17" l="1"/>
  <c r="A20" i="4" l="1"/>
  <c r="A19" i="4"/>
  <c r="AH2" i="1"/>
  <c r="AF2" i="1"/>
  <c r="AD2" i="1"/>
  <c r="AB2" i="1"/>
  <c r="I9" i="18" l="1"/>
  <c r="G39" i="1" l="1"/>
  <c r="G38" i="1"/>
  <c r="G37" i="1"/>
  <c r="G36" i="1"/>
  <c r="H39" i="1"/>
  <c r="H38" i="1"/>
  <c r="H37" i="1"/>
  <c r="H36" i="1"/>
  <c r="S9" i="1" l="1"/>
  <c r="G30" i="1" s="1"/>
  <c r="S6" i="1"/>
  <c r="G31" i="1" s="1"/>
  <c r="G32" i="1"/>
  <c r="K11" i="1" l="1"/>
  <c r="B30" i="1" s="1"/>
  <c r="C29" i="5"/>
  <c r="C27" i="5"/>
  <c r="C28" i="5"/>
  <c r="G29" i="5" l="1"/>
  <c r="G27" i="5"/>
  <c r="G28" i="5"/>
  <c r="K9" i="1"/>
  <c r="B34" i="1" s="1"/>
  <c r="K7" i="1"/>
  <c r="K13" i="1"/>
  <c r="Y23" i="5"/>
  <c r="Y9" i="5"/>
  <c r="Y20" i="5"/>
  <c r="Q8" i="23"/>
  <c r="Y15" i="5"/>
  <c r="Q12" i="23"/>
  <c r="Y11" i="5"/>
  <c r="Y18" i="5"/>
  <c r="Q18" i="23"/>
  <c r="Y25" i="5"/>
  <c r="Y10" i="5"/>
  <c r="Q16" i="23"/>
  <c r="C21" i="5"/>
  <c r="Y4" i="5"/>
  <c r="Q20" i="23"/>
  <c r="Q6" i="23"/>
  <c r="Q2" i="23"/>
  <c r="Y28" i="5"/>
  <c r="Y5" i="5"/>
  <c r="Q24" i="23"/>
  <c r="Y26" i="5"/>
  <c r="Y24" i="5"/>
  <c r="C20" i="5"/>
  <c r="Q14" i="23"/>
  <c r="Y17" i="5"/>
  <c r="C25" i="5"/>
  <c r="C24" i="5"/>
  <c r="Y16" i="5"/>
  <c r="Y13" i="5"/>
  <c r="Q4" i="23"/>
  <c r="B14" i="23"/>
  <c r="Q22" i="23"/>
  <c r="Y21" i="5"/>
  <c r="Y19" i="5"/>
  <c r="Y27" i="5"/>
  <c r="C23" i="5"/>
  <c r="Q10" i="23"/>
  <c r="Y22" i="5"/>
  <c r="Q26" i="23"/>
  <c r="C22" i="5"/>
  <c r="Y12" i="5"/>
  <c r="Y6" i="5"/>
  <c r="Y14" i="5"/>
  <c r="O3" i="1" a="1"/>
  <c r="Y8" i="5"/>
  <c r="Y7" i="5"/>
  <c r="B32" i="1" l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O6" i="1"/>
  <c r="U6" i="1" s="1"/>
  <c r="H31" i="1" s="1"/>
  <c r="B29" i="1"/>
  <c r="C22" i="22"/>
  <c r="N7" i="5"/>
  <c r="N20" i="5"/>
  <c r="C31" i="5"/>
  <c r="C13" i="5"/>
  <c r="N34" i="5"/>
  <c r="C32" i="5"/>
  <c r="C11" i="5"/>
  <c r="C16" i="5"/>
  <c r="C18" i="22"/>
  <c r="N25" i="5"/>
  <c r="N6" i="5"/>
  <c r="C3" i="22"/>
  <c r="N29" i="5"/>
  <c r="N32" i="5"/>
  <c r="N9" i="5"/>
  <c r="T17" i="1" a="1"/>
  <c r="C16" i="22"/>
  <c r="N27" i="5"/>
  <c r="C3" i="21"/>
  <c r="C18" i="5"/>
  <c r="N8" i="5"/>
  <c r="N17" i="5"/>
  <c r="C7" i="5"/>
  <c r="N33" i="5"/>
  <c r="N16" i="5"/>
  <c r="C12" i="5"/>
  <c r="C17" i="5"/>
  <c r="N5" i="5"/>
  <c r="C20" i="22"/>
  <c r="N14" i="5"/>
  <c r="Q17" i="1" a="1"/>
  <c r="N23" i="5"/>
  <c r="C15" i="5"/>
  <c r="N13" i="5"/>
  <c r="N30" i="5"/>
  <c r="C10" i="5"/>
  <c r="C26" i="22"/>
  <c r="N19" i="5"/>
  <c r="C6" i="5"/>
  <c r="C5" i="5"/>
  <c r="N11" i="5"/>
  <c r="N24" i="5"/>
  <c r="N12" i="5"/>
  <c r="N22" i="5"/>
  <c r="C24" i="22"/>
  <c r="N17" i="1" a="1"/>
  <c r="N28" i="5"/>
  <c r="C9" i="5"/>
  <c r="N18" i="5"/>
  <c r="R34" i="5" l="1"/>
  <c r="R33" i="5"/>
  <c r="G31" i="5"/>
  <c r="G32" i="5"/>
  <c r="R14" i="5"/>
  <c r="M18" i="22"/>
  <c r="M16" i="22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Q15" i="1"/>
  <c r="C15" i="1"/>
  <c r="N15" i="1"/>
  <c r="C16" i="1"/>
  <c r="T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A115AF53-86A9-4DA2-BBD1-01D3D614566D}">
      <text>
        <r>
          <rPr>
            <b/>
            <sz val="9"/>
            <color indexed="81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23" authorId="0" shapeId="0" xr:uid="{07C56D33-66A5-420F-BD10-CE7CA2A3FD79}">
      <text>
        <r>
          <rPr>
            <sz val="9"/>
            <color indexed="81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<sst xmlns="http://schemas.openxmlformats.org/spreadsheetml/2006/main" count="782" uniqueCount="371">
  <si>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</si>
  <si>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</si>
  <si>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</si>
  <si>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</si>
  <si>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</si>
  <si>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</si>
  <si>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</si>
  <si>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</si>
  <si>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</si>
  <si>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</si>
  <si>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</si>
  <si>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</si>
  <si>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</si>
  <si>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</si>
  <si>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</si>
  <si>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</si>
  <si>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</si>
  <si>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</si>
  <si>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</si>
  <si>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</si>
  <si>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</si>
  <si>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</si>
  <si>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</si>
  <si>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</si>
  <si>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</si>
  <si>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</si>
  <si>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</si>
  <si>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</si>
  <si>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</si>
  <si>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</si>
  <si>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</si>
  <si>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</si>
  <si>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</si>
  <si>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</si>
  <si>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</si>
  <si>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</si>
  <si>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</si>
  <si>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</si>
  <si>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</si>
  <si>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</si>
  <si>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</si>
  <si>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</si>
  <si>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</si>
  <si>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</si>
  <si>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</si>
  <si>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</si>
  <si>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</si>
  <si>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</si>
  <si>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</si>
  <si>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</si>
  <si>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</si>
  <si>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</si>
  <si>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</si>
  <si>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</si>
  <si>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</si>
  <si>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</si>
  <si>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</si>
  <si>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</si>
  <si>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</si>
  <si>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</si>
  <si>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</si>
  <si>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</si>
  <si>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</si>
  <si>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</si>
  <si>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</si>
  <si>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</si>
  <si>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</si>
  <si>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</si>
  <si>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</si>
  <si>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</si>
  <si>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</si>
  <si>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</si>
  <si>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</si>
  <si>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</si>
  <si>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</si>
  <si>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</si>
  <si>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</si>
  <si>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</si>
  <si>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</si>
  <si>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</si>
  <si>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</si>
  <si>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</si>
  <si>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</si>
  <si>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</si>
  <si>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</si>
  <si>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</si>
  <si>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</si>
  <si>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</si>
  <si>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</si>
  <si>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</si>
  <si>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</si>
  <si>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</si>
  <si>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</si>
  <si>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</si>
  <si>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</si>
  <si>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</si>
  <si>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</si>
  <si>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</si>
  <si>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</si>
  <si>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</si>
  <si>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</si>
  <si>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</si>
  <si>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</si>
  <si>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</si>
  <si>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棒槌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</si>
  <si>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</si>
  <si>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</si>
  <si>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</si>
  <si>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</si>
  <si>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</si>
  <si>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御海行者</t>
    <phoneticPr fontId="1" type="noConversion"/>
  </si>
  <si>
    <t>等级</t>
    <phoneticPr fontId="1" type="noConversion"/>
  </si>
  <si>
    <t>流派经验</t>
    <phoneticPr fontId="1" type="noConversion"/>
  </si>
  <si>
    <t>心神之法</t>
    <phoneticPr fontId="1" type="noConversion"/>
  </si>
  <si>
    <t>√</t>
    <phoneticPr fontId="1" type="noConversion"/>
  </si>
  <si>
    <t>仪式之法</t>
    <phoneticPr fontId="1" type="noConversion"/>
  </si>
  <si>
    <t>仪式之法专用材料背包</t>
    <phoneticPr fontId="1" type="noConversion"/>
  </si>
  <si>
    <t>数量</t>
    <phoneticPr fontId="1" type="noConversion"/>
  </si>
  <si>
    <t>过劳过载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</si>
  <si>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</si>
  <si>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</si>
  <si>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</si>
  <si>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</si>
  <si>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</si>
  <si>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</si>
  <si>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</si>
  <si>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</si>
  <si>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</si>
  <si>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</si>
  <si>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</si>
  <si>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</si>
  <si>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 xml:space="preserve">出生于天狗国外圈的平凡家族的鲸天狗。
成年之后子承父业，接下了他爹御海行者的职位，守护着天狗国领海的安全。
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</si>
  <si>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</si>
  <si>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</si>
  <si>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</si>
  <si>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</si>
  <si>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</si>
  <si>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</si>
  <si>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</si>
  <si>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</si>
  <si>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</si>
  <si>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</si>
  <si>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</si>
  <si>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</si>
  <si>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</si>
  <si>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</si>
  <si>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</si>
  <si>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</si>
  <si>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</si>
  <si>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</si>
  <si>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</si>
  <si>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</si>
  <si>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</si>
  <si>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</si>
  <si>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</si>
  <si>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</si>
  <si>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</si>
  <si>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</si>
  <si>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</si>
  <si>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</si>
  <si>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</si>
  <si>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</si>
  <si>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</si>
  <si>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</si>
  <si>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</si>
  <si>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</si>
  <si>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</si>
  <si>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</si>
  <si>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</si>
  <si>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</si>
  <si>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</si>
  <si>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</si>
  <si>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</si>
  <si>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</si>
  <si>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</si>
  <si>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天历前386年    诞生
出生于天狗国飞津国大河原城。
天历前26年    360岁
成年，继承家业，加入飞津海卫，成为御海行者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</si>
  <si>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</si>
  <si>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</si>
  <si>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</si>
  <si>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</si>
  <si>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</si>
  <si>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</si>
  <si>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</si>
  <si>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</si>
  <si>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</si>
  <si>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</si>
  <si>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</si>
  <si>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</si>
  <si>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</si>
  <si>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</si>
  <si>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</si>
  <si>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</si>
  <si>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</si>
  <si>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</si>
  <si>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</si>
  <si>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</si>
  <si>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</si>
  <si>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</si>
  <si>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</si>
  <si>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</si>
  <si>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</si>
  <si>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</si>
  <si>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</si>
  <si>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</si>
  <si>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</si>
  <si>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</si>
  <si>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</si>
  <si>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</si>
  <si>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</si>
  <si>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</si>
  <si>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</si>
  <si>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</si>
  <si>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</si>
  <si>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</si>
  <si>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</si>
  <si>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</si>
  <si>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</si>
  <si>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</si>
  <si>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</si>
  <si>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</si>
  <si>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</si>
  <si>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</si>
  <si>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</si>
  <si>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</si>
  <si>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</si>
  <si>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</si>
  <si>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</si>
  <si>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</si>
  <si>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</si>
  <si>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</si>
  <si>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</si>
  <si>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</si>
  <si>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</si>
  <si>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</si>
  <si>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</si>
  <si>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</si>
  <si>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</si>
  <si>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</si>
  <si>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</si>
  <si>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</si>
  <si>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</si>
  <si>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</si>
  <si>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</si>
  <si>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</si>
  <si>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</si>
  <si>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</si>
  <si>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</si>
  <si>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</si>
  <si>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</si>
  <si>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</si>
  <si>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</si>
  <si>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</si>
  <si>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</si>
  <si>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</si>
  <si>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</si>
  <si>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</si>
  <si>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</si>
  <si>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</si>
  <si>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水下所有检定有-10的奖励</t>
    <phoneticPr fontId="1" type="noConversion"/>
  </si>
  <si>
    <t>武者</t>
    <phoneticPr fontId="1" type="noConversion"/>
  </si>
  <si>
    <t>卫士</t>
    <phoneticPr fontId="1" type="noConversion"/>
  </si>
  <si>
    <t>每回合多2次进入子弹时间的机会；每回合获得额外2点只可用于敌意行动的行动点。</t>
    <phoneticPr fontId="1" type="noConversion"/>
  </si>
  <si>
    <t>长柄刀、长枪、水性、防御、抵抗、缴械</t>
    <phoneticPr fontId="1" type="noConversion"/>
  </si>
  <si>
    <t>长柄刀、搬运、缴械</t>
    <phoneticPr fontId="1" type="noConversion"/>
  </si>
  <si>
    <t>抵抗、水性、防御</t>
    <phoneticPr fontId="1" type="noConversion"/>
  </si>
  <si>
    <t>每回合获得一次群体嘲讽的机会；每回合的第一次防守检定不算衰减。</t>
    <phoneticPr fontId="1" type="noConversion"/>
  </si>
  <si>
    <t>开局选择武者职业</t>
    <phoneticPr fontId="1" type="noConversion"/>
  </si>
  <si>
    <t>武者职业升到5级</t>
    <phoneticPr fontId="1" type="noConversion"/>
  </si>
  <si>
    <t>卫士职业升到5级</t>
    <phoneticPr fontId="1" type="noConversion"/>
  </si>
  <si>
    <t>加入飞津海卫，御海行者职业升到2级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</si>
  <si>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</si>
  <si>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</si>
  <si>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</si>
  <si>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</si>
  <si>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</si>
  <si>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</si>
  <si>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</si>
  <si>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</si>
  <si>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</si>
  <si>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</si>
  <si>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</si>
  <si>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</si>
  <si>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</si>
  <si>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</si>
  <si>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</si>
  <si>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</si>
  <si>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</si>
  <si>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</si>
  <si>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</si>
  <si>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</si>
  <si>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</si>
  <si>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</si>
  <si>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</si>
  <si>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</si>
  <si>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</si>
  <si>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</si>
  <si>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</si>
  <si>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</si>
  <si>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</si>
  <si>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</si>
  <si>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</si>
  <si>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</si>
  <si>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</si>
  <si>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</si>
  <si>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</si>
  <si>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</si>
  <si>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</si>
  <si>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</si>
  <si>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</si>
  <si>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</si>
  <si>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</si>
  <si>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</si>
  <si>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</si>
  <si>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</si>
  <si>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</si>
  <si>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</si>
  <si>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</si>
  <si>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</si>
  <si>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</si>
  <si>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</si>
  <si>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</si>
  <si>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</si>
  <si>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</si>
  <si>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</si>
  <si>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</si>
  <si>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</si>
  <si>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</si>
  <si>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</si>
  <si>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</si>
  <si>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</si>
  <si>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</si>
  <si>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</si>
  <si>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</si>
  <si>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</si>
  <si>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</si>
  <si>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</si>
  <si>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</si>
  <si>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</si>
  <si>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</si>
  <si>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</si>
  <si>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</si>
  <si>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</si>
  <si>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</si>
  <si>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</si>
  <si>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</si>
  <si>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</si>
  <si>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</si>
  <si>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</si>
  <si>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</si>
  <si>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属性点补偿</t>
    <phoneticPr fontId="1" type="noConversion"/>
  </si>
  <si>
    <t>盾类武器</t>
    <phoneticPr fontId="1" type="noConversion"/>
  </si>
  <si>
    <t>轻盾</t>
    <phoneticPr fontId="1" type="noConversion"/>
  </si>
  <si>
    <t>长盾</t>
    <phoneticPr fontId="1" type="noConversion"/>
  </si>
  <si>
    <t>塑型之法</t>
    <phoneticPr fontId="1" type="noConversion"/>
  </si>
  <si>
    <t>当前塑型土（g）</t>
    <phoneticPr fontId="1" type="noConversion"/>
  </si>
  <si>
    <t>塑型土上限（g）</t>
    <phoneticPr fontId="1" type="noConversion"/>
  </si>
  <si>
    <t>主修流派</t>
    <phoneticPr fontId="1" type="noConversion"/>
  </si>
  <si>
    <t>漩涡之法</t>
  </si>
  <si>
    <t>若非主修流派，流派经验经验获取效率减半</t>
    <phoneticPr fontId="1" type="noConversion"/>
  </si>
  <si>
    <t>魔法流派</t>
    <phoneticPr fontId="1" type="noConversion"/>
  </si>
  <si>
    <t>流派名称</t>
    <phoneticPr fontId="1" type="noConversion"/>
  </si>
  <si>
    <t>流派等级</t>
    <phoneticPr fontId="1" type="noConversion"/>
  </si>
  <si>
    <t>流派效果</t>
    <phoneticPr fontId="1" type="noConversion"/>
  </si>
  <si>
    <t>漩涡之法</t>
    <phoneticPr fontId="1" type="noConversion"/>
  </si>
  <si>
    <t>心神之法</t>
  </si>
  <si>
    <t>仪式之法</t>
  </si>
  <si>
    <t>塑型之法</t>
  </si>
  <si>
    <t>免费过载</t>
    <phoneticPr fontId="1" type="noConversion"/>
  </si>
  <si>
    <t>当前主职</t>
    <phoneticPr fontId="1" type="noConversion"/>
  </si>
  <si>
    <t>职业</t>
    <phoneticPr fontId="1" type="noConversion"/>
  </si>
  <si>
    <t>御海行者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</si>
</sst>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5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family val="4"/>
      <charset val="134"/>
    </font>
    <font>
      <b/>
      <sz val="12"/>
      <color theme="3"/>
      <name val="方正准圆_GBK"/>
      <family val="4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4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32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15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 wrapText="1"/>
    </xf>
    <xf numFmtId="0" fontId="35" fillId="0" borderId="32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2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48" fillId="0" borderId="14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7" fillId="0" borderId="44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5" xfId="0" applyBorder="1" applyAlignment="1">
      <alignment horizontal="center"/>
    </xf>
    <xf numFmtId="177" fontId="0" fillId="0" borderId="34" xfId="0" applyNumberFormat="1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0" fontId="36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47" fillId="0" borderId="2" xfId="1" applyFont="1" applyBorder="1" applyAlignment="1">
      <alignment horizontal="center" vertical="center" wrapText="1"/>
    </xf>
    <xf numFmtId="0" fontId="47" fillId="0" borderId="0" xfId="1" applyFont="1" applyBorder="1" applyAlignment="1">
      <alignment horizontal="center" vertical="center" wrapText="1"/>
    </xf>
    <xf numFmtId="0" fontId="47" fillId="0" borderId="1" xfId="1" applyFont="1" applyAlignment="1">
      <alignment horizontal="center" vertical="center" wrapText="1"/>
    </xf>
    <xf numFmtId="0" fontId="51" fillId="0" borderId="2" xfId="1" applyFont="1" applyBorder="1" applyAlignment="1">
      <alignment horizontal="center" vertical="center" wrapText="1"/>
    </xf>
    <xf numFmtId="0" fontId="51" fillId="0" borderId="0" xfId="1" applyFont="1" applyBorder="1" applyAlignment="1">
      <alignment horizontal="center" vertical="center" wrapText="1"/>
    </xf>
    <xf numFmtId="0" fontId="51" fillId="0" borderId="1" xfId="1" applyFont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2" fillId="0" borderId="33" xfId="1" applyBorder="1" applyAlignment="1">
      <alignment horizontal="center"/>
    </xf>
    <xf numFmtId="0" fontId="15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 wrapText="1"/>
    </xf>
    <xf numFmtId="0" fontId="44" fillId="0" borderId="48" xfId="0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3" fillId="6" borderId="32" xfId="6" applyFont="1" applyFill="1" applyBorder="1" applyAlignment="1">
      <alignment horizontal="left" vertical="center"/>
    </xf>
    <xf numFmtId="0" fontId="33" fillId="7" borderId="32" xfId="6" applyFont="1" applyFill="1" applyBorder="1" applyAlignment="1">
      <alignment horizontal="left" vertical="center"/>
    </xf>
    <xf numFmtId="0" fontId="32" fillId="7" borderId="32" xfId="6" applyFont="1" applyFill="1" applyBorder="1" applyAlignment="1">
      <alignment horizontal="left" vertical="center"/>
    </xf>
    <xf numFmtId="0" fontId="33" fillId="8" borderId="32" xfId="6" applyFont="1" applyFill="1" applyBorder="1" applyAlignment="1">
      <alignment horizontal="left" vertical="center"/>
    </xf>
    <xf numFmtId="0" fontId="32" fillId="8" borderId="32" xfId="6" applyFont="1" applyFill="1" applyBorder="1" applyAlignment="1">
      <alignment horizontal="left" vertical="center"/>
    </xf>
    <xf numFmtId="0" fontId="0" fillId="0" borderId="32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6" fillId="0" borderId="18" xfId="0" applyFont="1" applyBorder="1" applyAlignment="1">
      <alignment horizontal="center" vertical="center"/>
    </xf>
    <xf numFmtId="0" fontId="46" fillId="0" borderId="29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176" fontId="0" fillId="0" borderId="14" xfId="0" applyNumberFormat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48" fillId="0" borderId="27" xfId="0" applyFont="1" applyBorder="1" applyAlignment="1">
      <alignment horizontal="center" vertical="center"/>
    </xf>
    <xf numFmtId="0" fontId="48" fillId="0" borderId="28" xfId="0" applyFont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28" xfId="0" applyFont="1" applyBorder="1" applyAlignment="1">
      <alignment horizontal="center" vertical="center"/>
    </xf>
    <xf numFmtId="0" fontId="49" fillId="0" borderId="18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2" xfId="0" applyFont="1" applyBorder="1" applyAlignment="1">
      <alignment horizontal="center" vertical="center" wrapText="1"/>
    </xf>
    <xf numFmtId="0" fontId="49" fillId="0" borderId="2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30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50" fillId="0" borderId="14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176" fontId="0" fillId="0" borderId="29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15" fillId="0" borderId="44" xfId="1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5" fillId="0" borderId="44" xfId="1" applyFont="1" applyBorder="1" applyAlignment="1">
      <alignment horizontal="center"/>
    </xf>
    <xf numFmtId="0" fontId="16" fillId="0" borderId="44" xfId="1" applyFont="1" applyBorder="1" applyAlignment="1">
      <alignment horizontal="center" vertical="center"/>
    </xf>
    <xf numFmtId="0" fontId="27" fillId="0" borderId="44" xfId="1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8261665-D11A-4A44-9842-C286AED4FF5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7D5331E-4B4F-479E-A6B3-B66F371418E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245C43-D963-4247-8702-0941973991D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D9D9CF4-6931-455B-81A6-24410AA41B9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B75F56-775B-427A-970B-92FE2E07B06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35C4880-5412-4470-8632-811AE451551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4704A2-7447-4AA7-A843-638EFF3622C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2AEEA18-45AE-4DD6-B0BB-6A1776E8E9D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F99C33-847F-4A27-BE6E-6F0E6400059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CF4B429-1E22-4828-A60A-FA02EA9761F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F201D8-FE45-4EE5-8340-E84D98AA566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FFE1B26-24CD-40F1-B43A-BB07728BF29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9B33C5-732C-43C9-A946-7D055E53952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CEED3AE-5508-46CF-A5B4-C4E65FF0E45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49F88D-FA1A-4852-B1C1-C00642F1651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B0467CE-6315-47B8-8541-4BFDFE27EC3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41EA09-7660-464B-BD4B-244C4EF76CD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058840B-9161-4A0A-9319-3643C0E92C0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DED05F-BEC0-40AA-877B-88AD5BB2CA7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27BB23E-B582-48E4-96BA-3C6C63323A1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877BB3-F28D-413E-878F-43E6F30C09B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8FE00FF5-A76F-43E1-93BA-2D7A4A28309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8F2762-6507-496F-BBF2-9EA9A6F71DB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BAE0A4F-1BFB-4B55-A2CB-3111B30B432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AD2002-4087-469A-B0B1-F21EB777326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CB5ED7A-F1F8-4D69-838E-5AEAE068D05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632A75-4F39-4C80-A92A-D0209C4F689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E66EAD0-9CC2-4371-BE59-300A60691DF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5424CE-AEB7-408F-A86A-6F7278B9B63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67C492B-2655-48AE-990B-9B4EE830025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17BBC6-4D9A-4552-A183-BE973114D7E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401783F-3865-4A72-8C54-CA4D6DCAE9F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4EE46B-2218-4B92-B1EB-3D2E8A3AA64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8BEF7159-E7F8-4898-86EF-300E2D91BBB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DD08B9-21DA-4D47-A3A8-12F853121A8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B8E04E6-D8CC-4327-9DCD-F0F4DE1B723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E4A683-A85E-4631-971B-2E633BC69B8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8103EB2-33AE-4B02-9DF0-2C1FB149394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E9F52D-AA50-40BE-8094-4E7733DCF16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7748B13-0FEA-4F60-B5DF-24CF500920F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AFEA04-FA4E-4A15-B527-DF9EFDE181D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8391818-4AEC-45EE-AE88-3BA56E4ADA0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A2F1B2-8E7D-4D72-AB42-671DA2349DF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811A24A-DA8E-4715-9D44-E8525E6D4BD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988D01-B451-4509-AC3D-B926150CC19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D579EDA-C934-4D35-8F57-A1447BC613B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4BA53D4-AA13-4322-B3FD-F27DB1EC4AA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9B4CCC6-86D7-466A-9D15-A9243DB901C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1924B-3B16-4300-8276-91FDB5B60B1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4531B7D-DEFD-45E9-B959-BD566676FAA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B14675-E2F6-4250-A6B8-FB3A5945EBC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7B9159D1-A4E7-4EED-BFB6-D509FE25646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D6ADFB-6B92-48F9-9602-74D15204D1C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9B2E9C3-7A56-4387-A5B3-83283B104FA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A5E00C-4D8D-4A51-8244-17FB6599B23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57E216A-88C7-401B-B79A-0D7D3CBF11E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9895BF-D052-4D94-8069-9B2A2E8BB8D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03E493C-910D-4A48-AE58-1A68F543414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E005A5-1F9B-4444-9194-5E4D327748B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CC8F510-6937-4A41-A626-D21614D7418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D4FDD3-A9B7-4C78-BD09-07040E01A15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15C63225-6E06-4265-898D-50C7E9F1759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E4AC2A-1804-414F-8E1E-0E3056EB9E7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7276359-618D-4FE6-9CAA-B99D80ED3E6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D55BB6-8F33-447A-94DE-F579B168F9D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DCAE4DA-50B3-401A-82D4-30F7CBCC6DA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30B30B-8CA3-475E-BEA2-831F828CB49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6A64219-8757-4819-99C8-CF66A201EF2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97193A-716B-4263-8A26-5DEF047C848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9FBFAF9-6113-431C-9E08-1DE8042DD2E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A31577-76E3-4034-8DF2-EF77E02585F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D93787F-5881-412B-986C-AF34C78D4BC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DFABA0-E1C7-4C24-A73B-E4AB9D7ADF2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1EBA5A8E-76A6-4D1E-A1C0-163CE003212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D09869-5277-4768-83D9-1BC90ACF5B5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0AAB259-16D4-4151-944B-A0ADA1A0FBB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912803-F806-42FE-A03A-89C0932FDD9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B7306528-B9D1-4A88-9459-2AE82EF953C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6005BF-6FEF-4F5F-B28B-F5D57DCC9FC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08D51AE-77D6-446D-B7C1-BC26830B41A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D8FA3B-5085-4573-BC8A-E31E00E20CB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E5DCF07-708D-4EBB-A4FC-8307185A4CB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E70287-D8C2-4E41-A344-B4CF63B2D5E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FF29094-78E9-44A3-9F6C-F2E86EEC0E4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B66F9B-3E30-4E2B-833D-26BB739062B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352937B-0430-46AC-9F55-53D917B96E5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4385C6-C393-444F-B6B8-92108B2A8CF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61ED3CB-7479-401C-AA17-645CDFD1C19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sqref="A1:D1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87" t="s">
        <v>0</v>
      </c>
      <c r="B1" s="87"/>
      <c r="C1" s="87"/>
      <c r="D1" s="87"/>
      <c r="F1" s="110" t="s">
        <v>11</v>
      </c>
      <c r="G1" s="110"/>
      <c r="H1" s="110"/>
      <c r="I1" s="110"/>
      <c r="J1" s="110"/>
      <c r="K1" s="110"/>
      <c r="M1" s="111" t="s">
        <v>177</v>
      </c>
      <c r="N1" s="111"/>
      <c r="O1" s="111"/>
      <c r="P1" s="111"/>
      <c r="Q1" s="111"/>
      <c r="R1" s="116"/>
      <c r="S1" s="116"/>
      <c r="T1" s="116"/>
      <c r="U1" s="116"/>
      <c r="V1" s="43"/>
      <c r="X1" s="75"/>
      <c r="Y1" s="68"/>
      <c r="Z1" s="66" t="s">
        <v>295</v>
      </c>
      <c r="AA1" s="68"/>
      <c r="AB1" s="66" t="s">
        <v>290</v>
      </c>
      <c r="AC1" s="68"/>
      <c r="AD1" s="66" t="s">
        <v>291</v>
      </c>
      <c r="AE1" s="68"/>
      <c r="AF1" s="66" t="s">
        <v>292</v>
      </c>
      <c r="AG1" s="68"/>
      <c r="AH1" s="66" t="s">
        <v>298</v>
      </c>
      <c r="AI1" s="68"/>
      <c r="AJ1" s="66" t="s">
        <v>299</v>
      </c>
      <c r="AK1" s="67"/>
    </row>
    <row r="2" spans="1:39" ht="20.399999999999999" customHeight="1" thickTop="1" thickBot="1" x14ac:dyDescent="0.3">
      <c r="A2" s="24" t="s">
        <v>1</v>
      </c>
      <c r="B2" s="109" t="s">
        <v>340</v>
      </c>
      <c r="C2" s="109"/>
      <c r="D2" s="109"/>
      <c r="F2" s="117" t="s">
        <v>12</v>
      </c>
      <c r="G2" s="1" t="s">
        <v>34</v>
      </c>
      <c r="H2" s="1" t="s">
        <v>35</v>
      </c>
      <c r="I2" s="1" t="s">
        <v>176</v>
      </c>
      <c r="J2" s="1" t="s">
        <v>9</v>
      </c>
      <c r="K2" s="2" t="s">
        <v>10</v>
      </c>
      <c r="M2" s="102" t="s">
        <v>19</v>
      </c>
      <c r="N2" s="102"/>
      <c r="O2" s="102"/>
      <c r="P2" s="102" t="s">
        <v>20</v>
      </c>
      <c r="Q2" s="102"/>
      <c r="R2" s="102"/>
      <c r="S2" s="102" t="s">
        <v>21</v>
      </c>
      <c r="T2" s="102"/>
      <c r="U2" s="102"/>
      <c r="V2" s="45"/>
      <c r="X2" s="75" t="s">
        <v>294</v>
      </c>
      <c r="Y2" s="68"/>
      <c r="Z2" s="66">
        <v>51</v>
      </c>
      <c r="AA2" s="68"/>
      <c r="AB2" s="66">
        <f>SUMIFS(Z11:AA90,AH11:AI90,AH10)</f>
        <v>30</v>
      </c>
      <c r="AC2" s="68"/>
      <c r="AD2" s="66">
        <f>SUMIFS(AB11:AC90,AH11:AI90,AH10)</f>
        <v>2</v>
      </c>
      <c r="AE2" s="68"/>
      <c r="AF2" s="66">
        <f>SUMIFS(AD11:AE90,AH11:AI90,AH10)</f>
        <v>-30</v>
      </c>
      <c r="AG2" s="68"/>
      <c r="AH2" s="66">
        <f>SUMIFS(AF11:AG90,AH11:AI90,AH10)</f>
        <v>0.5</v>
      </c>
      <c r="AI2" s="68"/>
      <c r="AJ2" s="66">
        <v>0</v>
      </c>
      <c r="AK2" s="67"/>
      <c r="AL2" s="69"/>
      <c r="AM2" s="69"/>
    </row>
    <row r="3" spans="1:39" ht="20.399999999999999" customHeight="1" thickTop="1" thickBot="1" x14ac:dyDescent="0.3">
      <c r="A3" s="24" t="s">
        <v>139</v>
      </c>
      <c r="B3" s="109" t="s">
        <v>341</v>
      </c>
      <c r="C3" s="109"/>
      <c r="D3" s="109"/>
      <c r="F3" s="118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2">
        <v>55</v>
      </c>
      <c r="N3" s="32" t="s">
        <v>18</v>
      </c>
      <c r="O3" s="32" cm="1">
        <f t="array" aca="1" ref="O3" ca="1">K7+INDIRECT("经历点数与履历"&amp;"!E3")</f>
        <v>55</v>
      </c>
      <c r="P3" s="32">
        <v>0</v>
      </c>
      <c r="Q3" s="32" t="s">
        <v>18</v>
      </c>
      <c r="R3" s="32">
        <v>0</v>
      </c>
      <c r="S3" s="32">
        <f>M3+P3</f>
        <v>55</v>
      </c>
      <c r="T3" s="32" t="s">
        <v>18</v>
      </c>
      <c r="U3" s="32">
        <f ca="1">O3+R3</f>
        <v>55</v>
      </c>
      <c r="V3" s="44"/>
      <c r="X3" s="76" t="s">
        <v>296</v>
      </c>
      <c r="Y3" s="77"/>
      <c r="Z3" s="70" t="s">
        <v>300</v>
      </c>
      <c r="AA3" s="71"/>
      <c r="AB3" s="71"/>
      <c r="AC3" s="71"/>
      <c r="AD3" s="71"/>
      <c r="AE3" s="72"/>
      <c r="AF3" s="70" t="s">
        <v>301</v>
      </c>
      <c r="AG3" s="71"/>
      <c r="AH3" s="71"/>
      <c r="AI3" s="71"/>
      <c r="AJ3" s="71"/>
      <c r="AK3" s="73"/>
      <c r="AL3" s="69"/>
      <c r="AM3" s="69"/>
    </row>
    <row r="4" spans="1:39" ht="20.399999999999999" customHeight="1" thickTop="1" thickBot="1" x14ac:dyDescent="0.3">
      <c r="A4" s="24" t="s">
        <v>49</v>
      </c>
      <c r="B4" s="50" t="s">
        <v>138</v>
      </c>
      <c r="C4" s="24" t="s">
        <v>2</v>
      </c>
      <c r="D4" s="50" t="s">
        <v>342</v>
      </c>
      <c r="F4" s="119" t="s">
        <v>13</v>
      </c>
      <c r="G4" s="3" t="s">
        <v>34</v>
      </c>
      <c r="H4" s="3" t="s">
        <v>35</v>
      </c>
      <c r="I4" s="3" t="s">
        <v>176</v>
      </c>
      <c r="J4" s="3" t="s">
        <v>9</v>
      </c>
      <c r="K4" s="4" t="s">
        <v>10</v>
      </c>
      <c r="M4" s="112" t="s">
        <v>22</v>
      </c>
      <c r="N4" s="113"/>
      <c r="O4" s="113"/>
      <c r="P4" s="113"/>
      <c r="Q4" s="113"/>
      <c r="R4" s="116"/>
      <c r="S4" s="116"/>
      <c r="T4" s="116"/>
      <c r="U4" s="116"/>
      <c r="V4" s="43"/>
      <c r="AJ4" s="69"/>
      <c r="AK4" s="69"/>
    </row>
    <row r="5" spans="1:39" ht="20.399999999999999" customHeight="1" thickTop="1" thickBot="1" x14ac:dyDescent="0.3">
      <c r="A5" s="24" t="s">
        <v>141</v>
      </c>
      <c r="B5" s="50">
        <v>387</v>
      </c>
      <c r="C5" s="24" t="s">
        <v>140</v>
      </c>
      <c r="D5" s="50" t="s">
        <v>343</v>
      </c>
      <c r="F5" s="120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102" t="s">
        <v>19</v>
      </c>
      <c r="N5" s="102"/>
      <c r="O5" s="102"/>
      <c r="P5" s="102" t="s">
        <v>20</v>
      </c>
      <c r="Q5" s="102"/>
      <c r="R5" s="102"/>
      <c r="S5" s="102" t="s">
        <v>21</v>
      </c>
      <c r="T5" s="102"/>
      <c r="U5" s="102"/>
      <c r="V5" s="45"/>
      <c r="AJ5" s="69"/>
      <c r="AK5" s="69"/>
    </row>
    <row r="6" spans="1:39" ht="20.399999999999999" customHeight="1" thickTop="1" thickBot="1" x14ac:dyDescent="0.3">
      <c r="A6" s="24" t="s">
        <v>142</v>
      </c>
      <c r="B6" s="50" t="s">
        <v>344</v>
      </c>
      <c r="C6" s="24" t="s">
        <v>4</v>
      </c>
      <c r="D6" s="50" t="s">
        <v>345</v>
      </c>
      <c r="F6" s="121" t="s">
        <v>14</v>
      </c>
      <c r="G6" s="7" t="s">
        <v>34</v>
      </c>
      <c r="H6" s="7" t="s">
        <v>35</v>
      </c>
      <c r="I6" s="7" t="s">
        <v>176</v>
      </c>
      <c r="J6" s="7" t="s">
        <v>9</v>
      </c>
      <c r="K6" s="8" t="s">
        <v>10</v>
      </c>
      <c r="M6" s="32">
        <v>30</v>
      </c>
      <c r="N6" s="32" t="s">
        <v>18</v>
      </c>
      <c r="O6" s="32">
        <f ca="1">K13</f>
        <v>30</v>
      </c>
      <c r="P6" s="32">
        <v>0</v>
      </c>
      <c r="Q6" s="32" t="s">
        <v>18</v>
      </c>
      <c r="R6" s="32">
        <v>0</v>
      </c>
      <c r="S6" s="32">
        <f>M6+P6</f>
        <v>30</v>
      </c>
      <c r="T6" s="32" t="s">
        <v>18</v>
      </c>
      <c r="U6" s="32">
        <f ca="1">O6+R6</f>
        <v>30</v>
      </c>
      <c r="V6" s="44"/>
      <c r="AJ6" s="69"/>
      <c r="AK6" s="69"/>
    </row>
    <row r="7" spans="1:39" ht="20.399999999999999" customHeight="1" thickTop="1" thickBot="1" x14ac:dyDescent="0.3">
      <c r="A7" s="24" t="s">
        <v>3</v>
      </c>
      <c r="B7" s="109" t="s">
        <v>346</v>
      </c>
      <c r="C7" s="109"/>
      <c r="D7" s="109"/>
      <c r="F7" s="122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114" t="s">
        <v>178</v>
      </c>
      <c r="N7" s="115"/>
      <c r="O7" s="115"/>
      <c r="P7" s="115"/>
      <c r="Q7" s="115"/>
      <c r="R7" s="116"/>
      <c r="S7" s="116"/>
      <c r="T7" s="116"/>
      <c r="U7" s="116"/>
      <c r="V7" s="43"/>
      <c r="AJ7" s="69"/>
      <c r="AK7" s="69"/>
    </row>
    <row r="8" spans="1:39" ht="20.399999999999999" customHeight="1" thickTop="1" thickBot="1" x14ac:dyDescent="0.3">
      <c r="A8" s="24" t="s">
        <v>5</v>
      </c>
      <c r="B8" s="109" t="s">
        <v>347</v>
      </c>
      <c r="C8" s="109"/>
      <c r="D8" s="109"/>
      <c r="F8" s="83" t="s">
        <v>15</v>
      </c>
      <c r="G8" s="11" t="s">
        <v>34</v>
      </c>
      <c r="H8" s="11" t="s">
        <v>35</v>
      </c>
      <c r="I8" s="11" t="s">
        <v>176</v>
      </c>
      <c r="J8" s="11" t="s">
        <v>9</v>
      </c>
      <c r="K8" s="12" t="s">
        <v>10</v>
      </c>
      <c r="M8" s="102" t="s">
        <v>19</v>
      </c>
      <c r="N8" s="102"/>
      <c r="O8" s="102"/>
      <c r="P8" s="102" t="s">
        <v>179</v>
      </c>
      <c r="Q8" s="102"/>
      <c r="R8" s="102"/>
      <c r="S8" s="102" t="s">
        <v>21</v>
      </c>
      <c r="T8" s="102"/>
      <c r="U8" s="102"/>
      <c r="V8" s="45"/>
      <c r="X8" s="62" t="s">
        <v>297</v>
      </c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65"/>
    </row>
    <row r="9" spans="1:39" ht="20.399999999999999" customHeight="1" thickTop="1" thickBot="1" x14ac:dyDescent="0.3">
      <c r="A9" s="88" t="s">
        <v>33</v>
      </c>
      <c r="B9" s="91" t="s">
        <v>348</v>
      </c>
      <c r="C9" s="91"/>
      <c r="D9" s="91"/>
      <c r="F9" s="84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2">
        <v>6</v>
      </c>
      <c r="N9" s="32" t="s">
        <v>18</v>
      </c>
      <c r="O9" s="32">
        <v>6</v>
      </c>
      <c r="P9" s="32">
        <v>5</v>
      </c>
      <c r="Q9" s="32" t="s">
        <v>18</v>
      </c>
      <c r="R9" s="32">
        <f ca="1">INT(K5/10)</f>
        <v>5</v>
      </c>
      <c r="S9" s="32">
        <f>M9+P9</f>
        <v>11</v>
      </c>
      <c r="T9" s="32" t="s">
        <v>18</v>
      </c>
      <c r="U9" s="32">
        <f ca="1">O9+R9</f>
        <v>11</v>
      </c>
      <c r="V9" s="44"/>
      <c r="X9" s="62"/>
      <c r="Y9" s="63"/>
      <c r="Z9" s="64" t="s">
        <v>282</v>
      </c>
      <c r="AA9" s="63"/>
      <c r="AB9" s="64" t="s">
        <v>283</v>
      </c>
      <c r="AC9" s="63"/>
      <c r="AD9" s="64" t="s">
        <v>284</v>
      </c>
      <c r="AE9" s="63"/>
      <c r="AF9" s="64" t="s">
        <v>285</v>
      </c>
      <c r="AG9" s="63"/>
      <c r="AH9" s="64" t="s">
        <v>293</v>
      </c>
      <c r="AI9" s="65"/>
    </row>
    <row r="10" spans="1:39" ht="20.399999999999999" customHeight="1" thickTop="1" thickBot="1" x14ac:dyDescent="0.3">
      <c r="A10" s="89"/>
      <c r="B10" s="92"/>
      <c r="C10" s="92"/>
      <c r="D10" s="92"/>
      <c r="F10" s="80" t="s">
        <v>16</v>
      </c>
      <c r="G10" s="17" t="s">
        <v>34</v>
      </c>
      <c r="H10" s="17" t="s">
        <v>35</v>
      </c>
      <c r="I10" s="17" t="s">
        <v>176</v>
      </c>
      <c r="J10" s="17" t="s">
        <v>9</v>
      </c>
      <c r="K10" s="18" t="s">
        <v>10</v>
      </c>
      <c r="X10" s="62" t="s">
        <v>286</v>
      </c>
      <c r="Y10" s="63"/>
      <c r="Z10" s="64">
        <v>0</v>
      </c>
      <c r="AA10" s="63"/>
      <c r="AB10" s="64">
        <v>0</v>
      </c>
      <c r="AC10" s="63"/>
      <c r="AD10" s="64">
        <v>0</v>
      </c>
      <c r="AE10" s="63"/>
      <c r="AF10" s="64">
        <v>0</v>
      </c>
      <c r="AG10" s="63"/>
      <c r="AH10" s="64" t="s">
        <v>154</v>
      </c>
      <c r="AI10" s="65"/>
    </row>
    <row r="11" spans="1:39" ht="20.399999999999999" customHeight="1" thickTop="1" thickBot="1" x14ac:dyDescent="0.4">
      <c r="A11" s="89"/>
      <c r="B11" s="92"/>
      <c r="C11" s="92"/>
      <c r="D11" s="92"/>
      <c r="F11" s="81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103" t="s">
        <v>180</v>
      </c>
      <c r="N11" s="103"/>
      <c r="O11" s="103"/>
      <c r="P11" s="103"/>
      <c r="Q11" s="103"/>
      <c r="R11" s="103"/>
      <c r="S11" s="103"/>
      <c r="T11" s="103"/>
      <c r="U11" s="103"/>
      <c r="V11" s="41"/>
      <c r="W11" s="106" t="s">
        <v>144</v>
      </c>
      <c r="X11" s="62" t="s">
        <v>200</v>
      </c>
      <c r="Y11" s="63"/>
      <c r="Z11" s="64"/>
      <c r="AA11" s="63"/>
      <c r="AB11" s="64"/>
      <c r="AC11" s="63"/>
      <c r="AD11" s="64"/>
      <c r="AE11" s="63"/>
      <c r="AF11" s="64"/>
      <c r="AG11" s="63"/>
      <c r="AH11" s="64"/>
      <c r="AI11" s="65"/>
    </row>
    <row r="12" spans="1:39" ht="20.399999999999999" customHeight="1" thickTop="1" thickBot="1" x14ac:dyDescent="0.3">
      <c r="A12" s="90"/>
      <c r="B12" s="93"/>
      <c r="C12" s="93"/>
      <c r="D12" s="93"/>
      <c r="F12" s="82" t="s">
        <v>17</v>
      </c>
      <c r="G12" s="15" t="s">
        <v>63</v>
      </c>
      <c r="H12" s="15" t="s">
        <v>35</v>
      </c>
      <c r="I12" s="15" t="s">
        <v>176</v>
      </c>
      <c r="J12" s="15" t="s">
        <v>9</v>
      </c>
      <c r="K12" s="16" t="s">
        <v>10</v>
      </c>
      <c r="M12" s="104" t="s">
        <v>181</v>
      </c>
      <c r="N12" s="104"/>
      <c r="O12" s="104"/>
      <c r="P12" s="105" t="s">
        <v>312</v>
      </c>
      <c r="Q12" s="105"/>
      <c r="R12" s="105"/>
      <c r="S12" s="104" t="s">
        <v>23</v>
      </c>
      <c r="T12" s="104"/>
      <c r="U12" s="34" cm="1">
        <f t="array" aca="1" ref="U12" ca="1">IF(P12=INDIRECT("武器"&amp;"!G3"),INDIRECT("武器"&amp;"!G5"),INDIRECT("武器"&amp;"!G12"))</f>
        <v>8</v>
      </c>
      <c r="V12" s="46"/>
      <c r="W12" s="107"/>
      <c r="X12" s="62" t="s">
        <v>201</v>
      </c>
      <c r="Y12" s="63"/>
      <c r="Z12" s="64"/>
      <c r="AA12" s="63"/>
      <c r="AB12" s="64"/>
      <c r="AC12" s="63"/>
      <c r="AD12" s="64"/>
      <c r="AE12" s="63"/>
      <c r="AF12" s="64"/>
      <c r="AG12" s="63"/>
      <c r="AH12" s="64"/>
      <c r="AI12" s="65"/>
    </row>
    <row r="13" spans="1:39" ht="20.399999999999999" customHeight="1" thickTop="1" thickBot="1" x14ac:dyDescent="0.4">
      <c r="A13" s="87" t="s">
        <v>188</v>
      </c>
      <c r="B13" s="87"/>
      <c r="C13" s="87"/>
      <c r="D13" s="87"/>
      <c r="F13" s="82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104" t="s">
        <v>184</v>
      </c>
      <c r="N13" s="104"/>
      <c r="O13" s="104"/>
      <c r="P13" s="104" t="s">
        <v>185</v>
      </c>
      <c r="Q13" s="104"/>
      <c r="R13" s="104"/>
      <c r="S13" s="104" t="s">
        <v>186</v>
      </c>
      <c r="T13" s="104"/>
      <c r="U13" s="104"/>
      <c r="V13" s="42"/>
      <c r="W13" s="107"/>
      <c r="X13" s="62" t="s">
        <v>288</v>
      </c>
      <c r="Y13" s="63"/>
      <c r="Z13" s="64">
        <v>15</v>
      </c>
      <c r="AA13" s="63"/>
      <c r="AB13" s="64">
        <v>1</v>
      </c>
      <c r="AC13" s="63"/>
      <c r="AD13" s="64">
        <v>-15</v>
      </c>
      <c r="AE13" s="63"/>
      <c r="AF13" s="64">
        <v>0</v>
      </c>
      <c r="AG13" s="63"/>
      <c r="AH13" s="64" t="s">
        <v>154</v>
      </c>
      <c r="AI13" s="65"/>
    </row>
    <row r="14" spans="1:39" ht="20.399999999999999" customHeight="1" thickTop="1" thickBot="1" x14ac:dyDescent="0.3">
      <c r="A14" s="24" t="s">
        <v>189</v>
      </c>
      <c r="B14" s="24" t="s">
        <v>190</v>
      </c>
      <c r="C14" s="94" t="s">
        <v>191</v>
      </c>
      <c r="D14" s="94"/>
      <c r="M14" s="33" t="s">
        <v>182</v>
      </c>
      <c r="N14" s="79" t="str">
        <f ca="1">IF(P12=INDIRECT("武器"&amp;"!G3"),INDIRECT("武器"&amp;"!J3"),INDIRECT("武器"&amp;"!J10"))</f>
        <v>长柄刀</v>
      </c>
      <c r="O14" s="79"/>
      <c r="P14" s="33" t="s">
        <v>182</v>
      </c>
      <c r="Q14" s="79" t="s">
        <v>75</v>
      </c>
      <c r="R14" s="79"/>
      <c r="S14" s="33" t="s">
        <v>182</v>
      </c>
      <c r="T14" s="79" t="s">
        <v>80</v>
      </c>
      <c r="U14" s="79"/>
      <c r="V14" s="47"/>
      <c r="W14" s="107"/>
      <c r="X14" s="62" t="s">
        <v>289</v>
      </c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5"/>
    </row>
    <row r="15" spans="1:39" ht="20.399999999999999" customHeight="1" thickTop="1" thickBot="1" x14ac:dyDescent="0.4">
      <c r="A15" s="50" t="s">
        <v>74</v>
      </c>
      <c r="B15" s="50" t="s">
        <v>87</v>
      </c>
      <c r="C15" s="95">
        <f ca="1">VLOOKUP(B15,INDIRECT("各种技能"&amp;"!A5:G32"),7,FALSE)</f>
        <v>64</v>
      </c>
      <c r="D15" s="95"/>
      <c r="F15" s="87" t="s">
        <v>194</v>
      </c>
      <c r="G15" s="87"/>
      <c r="H15" s="87"/>
      <c r="I15" s="87"/>
      <c r="J15" s="87"/>
      <c r="K15" s="87"/>
      <c r="M15" s="35" t="s">
        <v>72</v>
      </c>
      <c r="N15" s="78">
        <f ca="1">VLOOKUP(N14,INDIRECT("各种技能"&amp;"!L5:R32"),7,FALSE)</f>
        <v>50.7</v>
      </c>
      <c r="O15" s="78"/>
      <c r="P15" s="35" t="s">
        <v>72</v>
      </c>
      <c r="Q15" s="78">
        <f ca="1">VLOOKUP(Q14,INDIRECT("各种技能"&amp;"!A5:J32"),7,FALSE)</f>
        <v>50.7</v>
      </c>
      <c r="R15" s="78"/>
      <c r="S15" s="35" t="s">
        <v>72</v>
      </c>
      <c r="T15" s="78">
        <f ca="1">VLOOKUP(T14,INDIRECT("各种技能"&amp;"!A5:J32"),7,FALSE)</f>
        <v>50.7</v>
      </c>
      <c r="U15" s="78"/>
      <c r="V15" s="48"/>
      <c r="W15" s="107"/>
      <c r="X15" s="62" t="s">
        <v>203</v>
      </c>
      <c r="Y15" s="63"/>
      <c r="Z15" s="64"/>
      <c r="AA15" s="63"/>
      <c r="AB15" s="64"/>
      <c r="AC15" s="63"/>
      <c r="AD15" s="64"/>
      <c r="AE15" s="63"/>
      <c r="AF15" s="64"/>
      <c r="AG15" s="63"/>
      <c r="AH15" s="64"/>
      <c r="AI15" s="65"/>
    </row>
    <row r="16" spans="1:39" ht="20.399999999999999" customHeight="1" thickTop="1" thickBot="1" x14ac:dyDescent="0.3">
      <c r="A16" s="50" t="s">
        <v>192</v>
      </c>
      <c r="B16" s="50" t="s">
        <v>160</v>
      </c>
      <c r="C16" s="95">
        <f ca="1">VLOOKUP(B16,INDIRECT("各种技能"&amp;"!L5:R32"),7,FALSE)</f>
        <v>50.7</v>
      </c>
      <c r="D16" s="95"/>
      <c r="F16" s="36" t="s">
        <v>195</v>
      </c>
      <c r="G16" s="36" t="s">
        <v>196</v>
      </c>
      <c r="H16" s="36" t="s">
        <v>129</v>
      </c>
      <c r="I16" s="36" t="s">
        <v>197</v>
      </c>
      <c r="J16" s="36" t="s">
        <v>18</v>
      </c>
      <c r="K16" s="36" t="s">
        <v>198</v>
      </c>
      <c r="M16" s="49" t="s">
        <v>183</v>
      </c>
      <c r="N16" s="79"/>
      <c r="O16" s="79"/>
      <c r="P16" s="49" t="s">
        <v>183</v>
      </c>
      <c r="Q16" s="79"/>
      <c r="R16" s="79"/>
      <c r="S16" s="49" t="s">
        <v>183</v>
      </c>
      <c r="T16" s="79"/>
      <c r="U16" s="79"/>
      <c r="V16" s="47"/>
      <c r="W16" s="107"/>
      <c r="X16" s="62" t="s">
        <v>287</v>
      </c>
      <c r="Y16" s="63"/>
      <c r="Z16" s="64">
        <v>15</v>
      </c>
      <c r="AA16" s="63"/>
      <c r="AB16" s="64">
        <v>1</v>
      </c>
      <c r="AC16" s="63"/>
      <c r="AD16" s="64">
        <v>-15</v>
      </c>
      <c r="AE16" s="63"/>
      <c r="AF16" s="64">
        <v>0.5</v>
      </c>
      <c r="AG16" s="63"/>
      <c r="AH16" s="64" t="s">
        <v>154</v>
      </c>
      <c r="AI16" s="65"/>
    </row>
    <row r="17" spans="1:35" ht="20.399999999999999" customHeight="1" thickTop="1" thickBot="1" x14ac:dyDescent="0.3">
      <c r="A17" s="54" t="s">
        <v>368</v>
      </c>
      <c r="B17" s="94" t="s">
        <v>256</v>
      </c>
      <c r="C17" s="94"/>
      <c r="D17" s="94"/>
      <c r="F17" s="37" t="s">
        <v>26</v>
      </c>
      <c r="G17" s="37" cm="1">
        <f t="array" aca="1" ref="G17" ca="1">INDIRECT("防具"&amp;"!E4")</f>
        <v>1</v>
      </c>
      <c r="H17" s="38" cm="1">
        <f t="array" aca="1" ref="H17" ca="1">INDIRECT("防具"&amp;"!F4")</f>
        <v>0.2</v>
      </c>
      <c r="I17" s="37">
        <v>5</v>
      </c>
      <c r="J17" s="36" t="s">
        <v>18</v>
      </c>
      <c r="K17" s="37" cm="1">
        <f t="array" aca="1" ref="K17" ca="1">INDIRECT("防具"&amp;"!G4")</f>
        <v>5</v>
      </c>
      <c r="M17" s="35" t="s">
        <v>187</v>
      </c>
      <c r="N17" s="78" cm="1">
        <f t="array" aca="1" ref="N17" ca="1">IF(P12=INDIRECT("武器"&amp;"!G3"),INDIRECT("武器"&amp;"!J5"),INDIRECT("武器"&amp;"!J12"))</f>
        <v>16</v>
      </c>
      <c r="O17" s="78"/>
      <c r="P17" s="35" t="s">
        <v>187</v>
      </c>
      <c r="Q17" s="78" cm="1">
        <f t="array" aca="1" ref="Q17" ca="1">INDIRECT("防具"&amp;"!U1")</f>
        <v>8</v>
      </c>
      <c r="R17" s="78"/>
      <c r="S17" s="35" t="s">
        <v>187</v>
      </c>
      <c r="T17" s="78" cm="1">
        <f t="array" aca="1" ref="T17" ca="1">INDIRECT("防具"&amp;"!U1")</f>
        <v>8</v>
      </c>
      <c r="U17" s="78"/>
      <c r="V17" s="48"/>
      <c r="W17" s="107"/>
      <c r="X17" s="62" t="s">
        <v>315</v>
      </c>
      <c r="Y17" s="63"/>
      <c r="Z17" s="64"/>
      <c r="AA17" s="63"/>
      <c r="AB17" s="64"/>
      <c r="AC17" s="63"/>
      <c r="AD17" s="64"/>
      <c r="AE17" s="63"/>
      <c r="AF17" s="64"/>
      <c r="AG17" s="63"/>
      <c r="AH17" s="64"/>
      <c r="AI17" s="65"/>
    </row>
    <row r="18" spans="1:35" ht="20.399999999999999" customHeight="1" thickTop="1" thickBot="1" x14ac:dyDescent="0.3">
      <c r="A18" s="88" t="s">
        <v>370</v>
      </c>
      <c r="B18" s="96" t="str">
        <f ca="1">VLOOKUP(A18,INDIRECT("社群与职业"&amp;"!A8:P24"),3,FALSE)</f>
        <v>长柄刀、长枪、水性、防御、抵抗、缴械</v>
      </c>
      <c r="C18" s="96"/>
      <c r="D18" s="96"/>
      <c r="F18" s="37" t="s">
        <v>27</v>
      </c>
      <c r="G18" s="37" cm="1">
        <f t="array" aca="1" ref="G18" ca="1">INDIRECT("防具"&amp;"!E8")</f>
        <v>2</v>
      </c>
      <c r="H18" s="38" cm="1">
        <f t="array" aca="1" ref="H18" ca="1">INDIRECT("防具"&amp;"!F8")</f>
        <v>0.3</v>
      </c>
      <c r="I18" s="37">
        <v>8</v>
      </c>
      <c r="J18" s="36" t="s">
        <v>18</v>
      </c>
      <c r="K18" s="37" cm="1">
        <f t="array" aca="1" ref="K18" ca="1">INDIRECT("防具"&amp;"!G8")</f>
        <v>8</v>
      </c>
      <c r="M18" s="49" t="s">
        <v>183</v>
      </c>
      <c r="N18" s="79"/>
      <c r="O18" s="79"/>
      <c r="P18" s="49" t="s">
        <v>183</v>
      </c>
      <c r="Q18" s="79"/>
      <c r="R18" s="79"/>
      <c r="S18" s="49" t="s">
        <v>183</v>
      </c>
      <c r="T18" s="79"/>
      <c r="U18" s="79"/>
      <c r="V18" s="47"/>
      <c r="W18" s="107"/>
      <c r="X18" s="62" t="s">
        <v>316</v>
      </c>
      <c r="Y18" s="63"/>
      <c r="Z18" s="64"/>
      <c r="AA18" s="63"/>
      <c r="AB18" s="64"/>
      <c r="AC18" s="63"/>
      <c r="AD18" s="64"/>
      <c r="AE18" s="63"/>
      <c r="AF18" s="64"/>
      <c r="AG18" s="63"/>
      <c r="AH18" s="64"/>
      <c r="AI18" s="65"/>
    </row>
    <row r="19" spans="1:35" ht="20.399999999999999" customHeight="1" thickTop="1" thickBot="1" x14ac:dyDescent="0.3">
      <c r="A19" s="89"/>
      <c r="B19" s="97"/>
      <c r="C19" s="97"/>
      <c r="D19" s="97"/>
      <c r="F19" s="37" t="s">
        <v>28</v>
      </c>
      <c r="G19" s="37" cm="1">
        <f t="array" aca="1" ref="G19" ca="1">INDIRECT("防具"&amp;"!E12")</f>
        <v>3</v>
      </c>
      <c r="H19" s="38" cm="1">
        <f t="array" aca="1" ref="H19" ca="1">INDIRECT("防具"&amp;"!F12")</f>
        <v>0.4</v>
      </c>
      <c r="I19" s="37">
        <v>10</v>
      </c>
      <c r="J19" s="36" t="s">
        <v>18</v>
      </c>
      <c r="K19" s="37" cm="1">
        <f t="array" aca="1" ref="K19" ca="1">INDIRECT("防具"&amp;"!G12")</f>
        <v>10</v>
      </c>
      <c r="M19" s="49" t="s">
        <v>324</v>
      </c>
      <c r="N19" s="78">
        <v>0</v>
      </c>
      <c r="O19" s="78"/>
      <c r="P19" s="49" t="s">
        <v>324</v>
      </c>
      <c r="Q19" s="78">
        <v>0</v>
      </c>
      <c r="R19" s="78"/>
      <c r="S19" s="49" t="s">
        <v>324</v>
      </c>
      <c r="T19" s="78">
        <v>0</v>
      </c>
      <c r="U19" s="78"/>
      <c r="V19" s="48"/>
      <c r="W19" s="108"/>
      <c r="X19" s="62" t="s">
        <v>317</v>
      </c>
      <c r="Y19" s="63"/>
      <c r="Z19" s="64"/>
      <c r="AA19" s="63"/>
      <c r="AB19" s="64"/>
      <c r="AC19" s="63"/>
      <c r="AD19" s="64"/>
      <c r="AE19" s="63"/>
      <c r="AF19" s="64"/>
      <c r="AG19" s="63"/>
      <c r="AH19" s="64"/>
      <c r="AI19" s="65"/>
    </row>
    <row r="20" spans="1:35" ht="20.399999999999999" customHeight="1" thickTop="1" thickBot="1" x14ac:dyDescent="0.3">
      <c r="A20" s="90"/>
      <c r="B20" s="98"/>
      <c r="C20" s="98"/>
      <c r="D20" s="98"/>
      <c r="F20" s="37" t="s">
        <v>29</v>
      </c>
      <c r="G20" s="37" cm="1">
        <f t="array" aca="1" ref="G20" ca="1">INDIRECT("防具"&amp;"!E16")</f>
        <v>2</v>
      </c>
      <c r="H20" s="38" cm="1">
        <f t="array" aca="1" ref="H20" ca="1">INDIRECT("防具"&amp;"!F16")</f>
        <v>0.3</v>
      </c>
      <c r="I20" s="37">
        <v>8</v>
      </c>
      <c r="J20" s="36" t="s">
        <v>18</v>
      </c>
      <c r="K20" s="37" cm="1">
        <f t="array" aca="1" ref="K20" ca="1">INDIRECT("防具"&amp;"!G16")</f>
        <v>8</v>
      </c>
      <c r="M20" s="49" t="s">
        <v>325</v>
      </c>
      <c r="N20" s="78">
        <f ca="1">IF(N18=0,N17*N19,N19*N18)</f>
        <v>0</v>
      </c>
      <c r="O20" s="78"/>
      <c r="P20" s="49" t="s">
        <v>325</v>
      </c>
      <c r="Q20" s="78">
        <f ca="1">IF(Q18=0,Q17*Q19,Q18*Q19)</f>
        <v>0</v>
      </c>
      <c r="R20" s="78"/>
      <c r="S20" s="49" t="s">
        <v>325</v>
      </c>
      <c r="T20" s="78">
        <f ca="1">IF(T18=0,T17*T19,T18*T19)</f>
        <v>0</v>
      </c>
      <c r="U20" s="78"/>
      <c r="V20" s="48"/>
    </row>
    <row r="21" spans="1:35" ht="20.399999999999999" customHeight="1" thickTop="1" thickBot="1" x14ac:dyDescent="0.3">
      <c r="A21" s="88" t="s">
        <v>257</v>
      </c>
      <c r="B21" s="99" t="str">
        <f ca="1">VLOOKUP(A18,INDIRECT("社群与职业"&amp;"!A8:P24"),8,FALSE)</f>
        <v>水下所有检定有-10的奖励</v>
      </c>
      <c r="C21" s="99"/>
      <c r="D21" s="99"/>
      <c r="F21" s="85" t="s">
        <v>337</v>
      </c>
      <c r="G21" s="85"/>
      <c r="H21" s="85"/>
      <c r="I21" s="85"/>
      <c r="J21" s="86" t="s">
        <v>155</v>
      </c>
      <c r="K21" s="86"/>
      <c r="M21" s="49" t="s">
        <v>326</v>
      </c>
      <c r="N21" s="78"/>
      <c r="O21" s="78"/>
      <c r="P21" s="49" t="s">
        <v>326</v>
      </c>
      <c r="Q21" s="78"/>
      <c r="R21" s="78"/>
      <c r="S21" s="49" t="s">
        <v>326</v>
      </c>
      <c r="T21" s="78"/>
      <c r="U21" s="78"/>
      <c r="V21" s="48"/>
    </row>
    <row r="22" spans="1:35" ht="20.399999999999999" customHeight="1" thickTop="1" thickBot="1" x14ac:dyDescent="0.3">
      <c r="A22" s="89"/>
      <c r="B22" s="100"/>
      <c r="C22" s="100"/>
      <c r="D22" s="100"/>
      <c r="F22" s="37" t="s">
        <v>338</v>
      </c>
      <c r="G22" s="37" t="e" cm="1">
        <f t="array" aca="1" ref="G22" ca="1">INDIRECT("坐骑"&amp;"!N4")</f>
        <v>#REF!</v>
      </c>
      <c r="H22" s="38" t="e" cm="1">
        <f t="array" aca="1" ref="H22" ca="1">INDIRECT("坐骑"&amp;"!O4")</f>
        <v>#REF!</v>
      </c>
      <c r="I22" s="37">
        <v>8</v>
      </c>
      <c r="J22" s="37" t="s">
        <v>18</v>
      </c>
      <c r="K22" s="37" t="e" cm="1">
        <f t="array" aca="1" ref="K22" ca="1">INDIRECT("坐骑"&amp;"!S13")</f>
        <v>#REF!</v>
      </c>
      <c r="M22" s="49" t="s">
        <v>327</v>
      </c>
      <c r="N22" s="78">
        <f ca="1">SUM(N20,N21)</f>
        <v>0</v>
      </c>
      <c r="O22" s="78"/>
      <c r="P22" s="49" t="s">
        <v>327</v>
      </c>
      <c r="Q22" s="78">
        <f ca="1">SUM(Q20,Q21)</f>
        <v>0</v>
      </c>
      <c r="R22" s="78"/>
      <c r="S22" s="49" t="s">
        <v>327</v>
      </c>
      <c r="T22" s="78">
        <f ca="1">SUM(T20,T21)</f>
        <v>0</v>
      </c>
      <c r="U22" s="78"/>
      <c r="V22" s="48"/>
    </row>
    <row r="23" spans="1:35" ht="20.399999999999999" customHeight="1" thickTop="1" thickBot="1" x14ac:dyDescent="0.3">
      <c r="A23" s="90"/>
      <c r="B23" s="101"/>
      <c r="C23" s="101"/>
      <c r="D23" s="101"/>
      <c r="M23" s="49" t="s">
        <v>328</v>
      </c>
      <c r="N23" s="78">
        <f ca="1">IF(IF(N16=0,N15-N22,N16-N22)&lt;$K$3/2,$K$3/2,IF(N16=0,N15-N22,N16-N22))</f>
        <v>50.7</v>
      </c>
      <c r="O23" s="78"/>
      <c r="P23" s="49" t="s">
        <v>328</v>
      </c>
      <c r="Q23" s="78">
        <f ca="1">IF(IF(Q16=0,Q15-Q22,Q16-Q22)&lt;$K$3/2,$K$3/2,IF(Q16=0,Q15-Q22,Q16-Q22))</f>
        <v>50.7</v>
      </c>
      <c r="R23" s="78"/>
      <c r="S23" s="49" t="s">
        <v>328</v>
      </c>
      <c r="T23" s="78">
        <f ca="1">IF(IF(T16=0,T15-T22,T16-T22)&lt;$K$5/2,$K$5/2,IF(T16=0,T15-T22,T16-T22))</f>
        <v>50.7</v>
      </c>
      <c r="U23" s="78"/>
      <c r="V23" s="48"/>
    </row>
    <row r="24" spans="1:35" ht="20.399999999999999" customHeight="1" thickTop="1" x14ac:dyDescent="0.25">
      <c r="V24" s="48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114</v>
      </c>
      <c r="G29" t="s">
        <v>125</v>
      </c>
      <c r="H29" t="s">
        <v>245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156</v>
      </c>
      <c r="F30" t="s">
        <v>248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247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246</v>
      </c>
      <c r="G32">
        <f>S3</f>
        <v>55</v>
      </c>
      <c r="H32">
        <f ca="1">U3</f>
        <v>55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125</v>
      </c>
      <c r="H35" t="s">
        <v>245</v>
      </c>
    </row>
    <row r="36" spans="1:8" ht="20.399999999999999" customHeight="1" x14ac:dyDescent="0.25">
      <c r="A36" t="s">
        <v>207</v>
      </c>
      <c r="C36">
        <f ca="1">COUNTIF(B18,"*战术*")</f>
        <v>0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212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213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214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X19:Y19"/>
    <mergeCell ref="W11:W19"/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B17:D17"/>
    <mergeCell ref="A18:A20"/>
    <mergeCell ref="B18:D20"/>
    <mergeCell ref="A21:A23"/>
    <mergeCell ref="B21:D23"/>
    <mergeCell ref="N23:O23"/>
    <mergeCell ref="Q20:R20"/>
    <mergeCell ref="Q21:R21"/>
    <mergeCell ref="Q22:R22"/>
    <mergeCell ref="Q23:R23"/>
    <mergeCell ref="T20:U20"/>
    <mergeCell ref="T21:U21"/>
    <mergeCell ref="T22:U22"/>
    <mergeCell ref="T23:U23"/>
    <mergeCell ref="Z18:AA18"/>
    <mergeCell ref="Z19:AA19"/>
    <mergeCell ref="AB14:AC14"/>
    <mergeCell ref="AB15:AC15"/>
    <mergeCell ref="AF14:AG14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T14:U14"/>
    <mergeCell ref="T15:U15"/>
    <mergeCell ref="N18:O18"/>
    <mergeCell ref="Q18:R18"/>
    <mergeCell ref="X17:Y17"/>
    <mergeCell ref="Z17:AA17"/>
    <mergeCell ref="AB17:AC17"/>
    <mergeCell ref="AD17:AE17"/>
    <mergeCell ref="AD18:AE18"/>
    <mergeCell ref="AD19:AE19"/>
    <mergeCell ref="AD13:AE13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X11:Y11"/>
    <mergeCell ref="X12:Y12"/>
    <mergeCell ref="Z16:AA16"/>
    <mergeCell ref="Z11:AA11"/>
    <mergeCell ref="Z12:AA12"/>
    <mergeCell ref="X13:Y13"/>
    <mergeCell ref="AF11:AG11"/>
    <mergeCell ref="AF12:AG12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X18:Y18"/>
    <mergeCell ref="AH13:AI13"/>
    <mergeCell ref="AH14:AI14"/>
    <mergeCell ref="AJ1:AK1"/>
    <mergeCell ref="Z1:AA1"/>
    <mergeCell ref="AB1:AC1"/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  <x14:dataValidation type="list" allowBlank="1" showInputMessage="1" showErrorMessage="1" xr:uid="{5B070BFC-95DC-4016-A5F8-EDBE9BFD6BE4}">
          <x14:formula1>
            <xm:f>社群与职业!$A$8:$A$24</xm:f>
          </x14:formula1>
          <xm:sqref>A18:A20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N3" sqref="N3:W30"/>
    </sheetView>
  </sheetViews>
  <sheetFormatPr defaultRowHeight="20.399999999999999" customHeight="1" x14ac:dyDescent="0.25"/>
  <sheetData>
    <row r="1" spans="1:23" ht="20.399999999999999" customHeight="1" x14ac:dyDescent="0.25">
      <c r="A1" s="127" t="s">
        <v>170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N1" s="128" t="s">
        <v>127</v>
      </c>
      <c r="O1" s="128"/>
      <c r="P1" s="128"/>
      <c r="Q1" s="128"/>
      <c r="R1" s="128"/>
      <c r="S1" s="128"/>
      <c r="T1" s="128"/>
      <c r="U1" s="128"/>
      <c r="V1" s="128"/>
      <c r="W1" s="128"/>
    </row>
    <row r="2" spans="1:23" ht="20.399999999999999" customHeight="1" thickBo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N2" s="128"/>
      <c r="O2" s="128"/>
      <c r="P2" s="128"/>
      <c r="Q2" s="128"/>
      <c r="R2" s="128"/>
      <c r="S2" s="128"/>
      <c r="T2" s="128"/>
      <c r="U2" s="128"/>
      <c r="V2" s="128"/>
      <c r="W2" s="128"/>
    </row>
    <row r="3" spans="1:23" ht="20.399999999999999" customHeight="1" thickTop="1" x14ac:dyDescent="0.25">
      <c r="A3" s="123" t="s">
        <v>320</v>
      </c>
      <c r="B3" s="123"/>
      <c r="C3" s="123"/>
      <c r="D3" s="123"/>
      <c r="E3" s="123">
        <f>SUMIF(E9:H591,"&gt;=0",E9:H591)</f>
        <v>15</v>
      </c>
      <c r="F3" s="123"/>
      <c r="G3" s="123"/>
      <c r="H3" s="123"/>
      <c r="I3" s="123"/>
      <c r="J3" s="123"/>
      <c r="K3" s="123"/>
      <c r="L3" s="123"/>
      <c r="N3" s="129" t="s">
        <v>175</v>
      </c>
      <c r="O3" s="129"/>
      <c r="P3" s="129"/>
      <c r="Q3" s="129"/>
      <c r="R3" s="129"/>
      <c r="S3" s="129"/>
      <c r="T3" s="129"/>
      <c r="U3" s="129"/>
      <c r="V3" s="129"/>
      <c r="W3" s="129"/>
    </row>
    <row r="4" spans="1:23" ht="20.399999999999999" customHeight="1" thickBot="1" x14ac:dyDescent="0.3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N4" s="129"/>
      <c r="O4" s="129"/>
      <c r="P4" s="129"/>
      <c r="Q4" s="129"/>
      <c r="R4" s="129"/>
      <c r="S4" s="129"/>
      <c r="T4" s="129"/>
      <c r="U4" s="129"/>
      <c r="V4" s="129"/>
      <c r="W4" s="129"/>
    </row>
    <row r="5" spans="1:23" ht="20.399999999999999" customHeight="1" thickTop="1" x14ac:dyDescent="0.25">
      <c r="A5" s="123" t="s">
        <v>330</v>
      </c>
      <c r="B5" s="123"/>
      <c r="C5" s="123"/>
      <c r="D5" s="123">
        <f>E3-J5</f>
        <v>15</v>
      </c>
      <c r="E5" s="123"/>
      <c r="F5" s="123"/>
      <c r="G5" s="123" t="s">
        <v>329</v>
      </c>
      <c r="H5" s="123"/>
      <c r="I5" s="123"/>
      <c r="J5" s="123">
        <f>E11</f>
        <v>0</v>
      </c>
      <c r="K5" s="123"/>
      <c r="L5" s="123"/>
      <c r="N5" s="129"/>
      <c r="O5" s="129"/>
      <c r="P5" s="129"/>
      <c r="Q5" s="129"/>
      <c r="R5" s="129"/>
      <c r="S5" s="129"/>
      <c r="T5" s="129"/>
      <c r="U5" s="129"/>
      <c r="V5" s="129"/>
      <c r="W5" s="129"/>
    </row>
    <row r="6" spans="1:23" ht="20.399999999999999" customHeight="1" thickBot="1" x14ac:dyDescent="0.3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N6" s="129"/>
      <c r="O6" s="129"/>
      <c r="P6" s="129"/>
      <c r="Q6" s="129"/>
      <c r="R6" s="129"/>
      <c r="S6" s="129"/>
      <c r="T6" s="129"/>
      <c r="U6" s="129"/>
      <c r="V6" s="129"/>
      <c r="W6" s="129"/>
    </row>
    <row r="7" spans="1:23" ht="20.399999999999999" customHeight="1" thickTop="1" x14ac:dyDescent="0.25">
      <c r="A7" s="123" t="s">
        <v>173</v>
      </c>
      <c r="B7" s="123"/>
      <c r="C7" s="123"/>
      <c r="D7" s="123"/>
      <c r="E7" s="123" t="s">
        <v>171</v>
      </c>
      <c r="F7" s="123"/>
      <c r="G7" s="123"/>
      <c r="H7" s="123"/>
      <c r="I7" s="123" t="s">
        <v>172</v>
      </c>
      <c r="J7" s="123"/>
      <c r="K7" s="123"/>
      <c r="L7" s="123"/>
      <c r="N7" s="129"/>
      <c r="O7" s="129"/>
      <c r="P7" s="129"/>
      <c r="Q7" s="129"/>
      <c r="R7" s="129"/>
      <c r="S7" s="129"/>
      <c r="T7" s="129"/>
      <c r="U7" s="129"/>
      <c r="V7" s="129"/>
      <c r="W7" s="129"/>
    </row>
    <row r="8" spans="1:23" ht="20.399999999999999" customHeight="1" thickBot="1" x14ac:dyDescent="0.3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N8" s="129"/>
      <c r="O8" s="129"/>
      <c r="P8" s="129"/>
      <c r="Q8" s="129"/>
      <c r="R8" s="129"/>
      <c r="S8" s="129"/>
      <c r="T8" s="129"/>
      <c r="U8" s="129"/>
      <c r="V8" s="129"/>
      <c r="W8" s="129"/>
    </row>
    <row r="9" spans="1:23" ht="20.399999999999999" customHeight="1" thickTop="1" x14ac:dyDescent="0.25">
      <c r="A9" s="125" t="s">
        <v>174</v>
      </c>
      <c r="B9" s="125"/>
      <c r="C9" s="125"/>
      <c r="D9" s="125"/>
      <c r="E9" s="125">
        <v>15</v>
      </c>
      <c r="F9" s="125"/>
      <c r="G9" s="125"/>
      <c r="H9" s="125"/>
      <c r="I9" s="125">
        <f>E9</f>
        <v>15</v>
      </c>
      <c r="J9" s="125"/>
      <c r="K9" s="125"/>
      <c r="L9" s="125"/>
      <c r="N9" s="129"/>
      <c r="O9" s="129"/>
      <c r="P9" s="129"/>
      <c r="Q9" s="129"/>
      <c r="R9" s="129"/>
      <c r="S9" s="129"/>
      <c r="T9" s="129"/>
      <c r="U9" s="129"/>
      <c r="V9" s="129"/>
      <c r="W9" s="129"/>
    </row>
    <row r="10" spans="1:23" ht="20.399999999999999" customHeight="1" thickBot="1" x14ac:dyDescent="0.3">
      <c r="A10" s="126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N10" s="129"/>
      <c r="O10" s="129"/>
      <c r="P10" s="129"/>
      <c r="Q10" s="129"/>
      <c r="R10" s="129"/>
      <c r="S10" s="129"/>
      <c r="T10" s="129"/>
      <c r="U10" s="129"/>
      <c r="V10" s="129"/>
      <c r="W10" s="129"/>
    </row>
    <row r="11" spans="1:23" ht="20.399999999999999" customHeight="1" thickTop="1" x14ac:dyDescent="0.25">
      <c r="A11" s="125" t="s">
        <v>349</v>
      </c>
      <c r="B11" s="125"/>
      <c r="C11" s="125"/>
      <c r="D11" s="125"/>
      <c r="E11" s="125">
        <v>0</v>
      </c>
      <c r="F11" s="125"/>
      <c r="G11" s="125"/>
      <c r="H11" s="125"/>
      <c r="I11" s="125">
        <f>E11+I9</f>
        <v>15</v>
      </c>
      <c r="J11" s="125"/>
      <c r="K11" s="125"/>
      <c r="L11" s="125"/>
      <c r="N11" s="129"/>
      <c r="O11" s="129"/>
      <c r="P11" s="129"/>
      <c r="Q11" s="129"/>
      <c r="R11" s="129"/>
      <c r="S11" s="129"/>
      <c r="T11" s="129"/>
      <c r="U11" s="129"/>
      <c r="V11" s="129"/>
      <c r="W11" s="129"/>
    </row>
    <row r="12" spans="1:23" ht="20.399999999999999" customHeight="1" thickBot="1" x14ac:dyDescent="0.3">
      <c r="A12" s="126"/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N12" s="129"/>
      <c r="O12" s="129"/>
      <c r="P12" s="129"/>
      <c r="Q12" s="129"/>
      <c r="R12" s="129"/>
      <c r="S12" s="129"/>
      <c r="T12" s="129"/>
      <c r="U12" s="129"/>
      <c r="V12" s="129"/>
      <c r="W12" s="129"/>
    </row>
    <row r="13" spans="1:23" ht="20.399999999999999" customHeight="1" thickTop="1" x14ac:dyDescent="0.25">
      <c r="A13" s="125" t="s">
        <v>266</v>
      </c>
      <c r="B13" s="125"/>
      <c r="C13" s="125"/>
      <c r="D13" s="125"/>
      <c r="E13" s="125">
        <v>0</v>
      </c>
      <c r="F13" s="125"/>
      <c r="G13" s="125"/>
      <c r="H13" s="125"/>
      <c r="I13" s="125">
        <f t="shared" ref="I13" si="0">E13+I11</f>
        <v>15</v>
      </c>
      <c r="J13" s="125"/>
      <c r="K13" s="125"/>
      <c r="L13" s="125"/>
      <c r="N13" s="129"/>
      <c r="O13" s="129"/>
      <c r="P13" s="129"/>
      <c r="Q13" s="129"/>
      <c r="R13" s="129"/>
      <c r="S13" s="129"/>
      <c r="T13" s="129"/>
      <c r="U13" s="129"/>
      <c r="V13" s="129"/>
      <c r="W13" s="129"/>
    </row>
    <row r="14" spans="1:23" ht="20.399999999999999" customHeight="1" thickBot="1" x14ac:dyDescent="0.3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N14" s="129"/>
      <c r="O14" s="129"/>
      <c r="P14" s="129"/>
      <c r="Q14" s="129"/>
      <c r="R14" s="129"/>
      <c r="S14" s="129"/>
      <c r="T14" s="129"/>
      <c r="U14" s="129"/>
      <c r="V14" s="129"/>
      <c r="W14" s="129"/>
    </row>
    <row r="15" spans="1:23" ht="20.399999999999999" customHeight="1" thickTop="1" x14ac:dyDescent="0.25">
      <c r="A15" s="125" t="s">
        <v>267</v>
      </c>
      <c r="B15" s="125"/>
      <c r="C15" s="125"/>
      <c r="D15" s="125"/>
      <c r="E15" s="125">
        <v>-4</v>
      </c>
      <c r="F15" s="125"/>
      <c r="G15" s="125"/>
      <c r="H15" s="125"/>
      <c r="I15" s="125">
        <f t="shared" ref="I15" si="1">E15+I13</f>
        <v>11</v>
      </c>
      <c r="J15" s="125"/>
      <c r="K15" s="125"/>
      <c r="L15" s="125"/>
      <c r="N15" s="129"/>
      <c r="O15" s="129"/>
      <c r="P15" s="129"/>
      <c r="Q15" s="129"/>
      <c r="R15" s="129"/>
      <c r="S15" s="129"/>
      <c r="T15" s="129"/>
      <c r="U15" s="129"/>
      <c r="V15" s="129"/>
      <c r="W15" s="129"/>
    </row>
    <row r="16" spans="1:23" ht="20.399999999999999" customHeight="1" thickBot="1" x14ac:dyDescent="0.3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N16" s="129"/>
      <c r="O16" s="129"/>
      <c r="P16" s="129"/>
      <c r="Q16" s="129"/>
      <c r="R16" s="129"/>
      <c r="S16" s="129"/>
      <c r="T16" s="129"/>
      <c r="U16" s="129"/>
      <c r="V16" s="129"/>
      <c r="W16" s="129"/>
    </row>
    <row r="17" spans="1:23" ht="20.399999999999999" customHeight="1" thickTop="1" x14ac:dyDescent="0.25">
      <c r="A17" s="125" t="s">
        <v>268</v>
      </c>
      <c r="B17" s="125"/>
      <c r="C17" s="125"/>
      <c r="D17" s="125"/>
      <c r="E17" s="125">
        <v>-5</v>
      </c>
      <c r="F17" s="125"/>
      <c r="G17" s="125"/>
      <c r="H17" s="125"/>
      <c r="I17" s="125">
        <f t="shared" ref="I17" si="2">E17+I15</f>
        <v>6</v>
      </c>
      <c r="J17" s="125"/>
      <c r="K17" s="125"/>
      <c r="L17" s="125"/>
      <c r="N17" s="129"/>
      <c r="O17" s="129"/>
      <c r="P17" s="129"/>
      <c r="Q17" s="129"/>
      <c r="R17" s="129"/>
      <c r="S17" s="129"/>
      <c r="T17" s="129"/>
      <c r="U17" s="129"/>
      <c r="V17" s="129"/>
      <c r="W17" s="129"/>
    </row>
    <row r="18" spans="1:23" ht="20.399999999999999" customHeight="1" thickBot="1" x14ac:dyDescent="0.3">
      <c r="A18" s="126"/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N18" s="129"/>
      <c r="O18" s="129"/>
      <c r="P18" s="129"/>
      <c r="Q18" s="129"/>
      <c r="R18" s="129"/>
      <c r="S18" s="129"/>
      <c r="T18" s="129"/>
      <c r="U18" s="129"/>
      <c r="V18" s="129"/>
      <c r="W18" s="129"/>
    </row>
    <row r="19" spans="1:23" ht="20.399999999999999" customHeight="1" thickTop="1" x14ac:dyDescent="0.25">
      <c r="A19" s="125" t="s">
        <v>269</v>
      </c>
      <c r="B19" s="125"/>
      <c r="C19" s="125"/>
      <c r="D19" s="125"/>
      <c r="E19" s="125">
        <v>-4</v>
      </c>
      <c r="F19" s="125"/>
      <c r="G19" s="125"/>
      <c r="H19" s="125"/>
      <c r="I19" s="125">
        <f t="shared" ref="I19" si="3">E19+I17</f>
        <v>2</v>
      </c>
      <c r="J19" s="125"/>
      <c r="K19" s="125"/>
      <c r="L19" s="125"/>
      <c r="N19" s="129"/>
      <c r="O19" s="129"/>
      <c r="P19" s="129"/>
      <c r="Q19" s="129"/>
      <c r="R19" s="129"/>
      <c r="S19" s="129"/>
      <c r="T19" s="129"/>
      <c r="U19" s="129"/>
      <c r="V19" s="129"/>
      <c r="W19" s="129"/>
    </row>
    <row r="20" spans="1:23" ht="20.399999999999999" customHeight="1" thickBot="1" x14ac:dyDescent="0.3">
      <c r="A20" s="126"/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N20" s="129"/>
      <c r="O20" s="129"/>
      <c r="P20" s="129"/>
      <c r="Q20" s="129"/>
      <c r="R20" s="129"/>
      <c r="S20" s="129"/>
      <c r="T20" s="129"/>
      <c r="U20" s="129"/>
      <c r="V20" s="129"/>
      <c r="W20" s="129"/>
    </row>
    <row r="21" spans="1:23" ht="20.399999999999999" customHeight="1" thickTop="1" x14ac:dyDescent="0.25">
      <c r="A21" s="125"/>
      <c r="B21" s="125"/>
      <c r="C21" s="125"/>
      <c r="D21" s="125"/>
      <c r="E21" s="125"/>
      <c r="F21" s="125"/>
      <c r="G21" s="125"/>
      <c r="H21" s="125"/>
      <c r="I21" s="125">
        <f t="shared" ref="I21" si="4">E21+I19</f>
        <v>2</v>
      </c>
      <c r="J21" s="125"/>
      <c r="K21" s="125"/>
      <c r="L21" s="125"/>
      <c r="N21" s="129"/>
      <c r="O21" s="129"/>
      <c r="P21" s="129"/>
      <c r="Q21" s="129"/>
      <c r="R21" s="129"/>
      <c r="S21" s="129"/>
      <c r="T21" s="129"/>
      <c r="U21" s="129"/>
      <c r="V21" s="129"/>
      <c r="W21" s="129"/>
    </row>
    <row r="22" spans="1:23" ht="20.399999999999999" customHeight="1" thickBot="1" x14ac:dyDescent="0.3">
      <c r="A22" s="126"/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N22" s="129"/>
      <c r="O22" s="129"/>
      <c r="P22" s="129"/>
      <c r="Q22" s="129"/>
      <c r="R22" s="129"/>
      <c r="S22" s="129"/>
      <c r="T22" s="129"/>
      <c r="U22" s="129"/>
      <c r="V22" s="129"/>
      <c r="W22" s="129"/>
    </row>
    <row r="23" spans="1:23" ht="20.399999999999999" customHeight="1" thickTop="1" x14ac:dyDescent="0.25">
      <c r="A23" s="125"/>
      <c r="B23" s="125"/>
      <c r="C23" s="125"/>
      <c r="D23" s="125"/>
      <c r="E23" s="125"/>
      <c r="F23" s="125"/>
      <c r="G23" s="125"/>
      <c r="H23" s="125"/>
      <c r="I23" s="125">
        <f t="shared" ref="I23" si="5">E23+I21</f>
        <v>2</v>
      </c>
      <c r="J23" s="125"/>
      <c r="K23" s="125"/>
      <c r="L23" s="125"/>
      <c r="N23" s="129"/>
      <c r="O23" s="129"/>
      <c r="P23" s="129"/>
      <c r="Q23" s="129"/>
      <c r="R23" s="129"/>
      <c r="S23" s="129"/>
      <c r="T23" s="129"/>
      <c r="U23" s="129"/>
      <c r="V23" s="129"/>
      <c r="W23" s="129"/>
    </row>
    <row r="24" spans="1:23" ht="20.399999999999999" customHeight="1" thickBot="1" x14ac:dyDescent="0.3">
      <c r="A24" s="126"/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N24" s="129"/>
      <c r="O24" s="129"/>
      <c r="P24" s="129"/>
      <c r="Q24" s="129"/>
      <c r="R24" s="129"/>
      <c r="S24" s="129"/>
      <c r="T24" s="129"/>
      <c r="U24" s="129"/>
      <c r="V24" s="129"/>
      <c r="W24" s="129"/>
    </row>
    <row r="25" spans="1:23" ht="20.399999999999999" customHeight="1" thickTop="1" x14ac:dyDescent="0.25">
      <c r="A25" s="125"/>
      <c r="B25" s="125"/>
      <c r="C25" s="125"/>
      <c r="D25" s="125"/>
      <c r="E25" s="125"/>
      <c r="F25" s="125"/>
      <c r="G25" s="125"/>
      <c r="H25" s="125"/>
      <c r="I25" s="125">
        <f t="shared" ref="I25" si="6">E25+I23</f>
        <v>2</v>
      </c>
      <c r="J25" s="125"/>
      <c r="K25" s="125"/>
      <c r="L25" s="125"/>
      <c r="N25" s="129"/>
      <c r="O25" s="129"/>
      <c r="P25" s="129"/>
      <c r="Q25" s="129"/>
      <c r="R25" s="129"/>
      <c r="S25" s="129"/>
      <c r="T25" s="129"/>
      <c r="U25" s="129"/>
      <c r="V25" s="129"/>
      <c r="W25" s="129"/>
    </row>
    <row r="26" spans="1:23" ht="20.399999999999999" customHeight="1" thickBot="1" x14ac:dyDescent="0.3">
      <c r="A26" s="126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N26" s="129"/>
      <c r="O26" s="129"/>
      <c r="P26" s="129"/>
      <c r="Q26" s="129"/>
      <c r="R26" s="129"/>
      <c r="S26" s="129"/>
      <c r="T26" s="129"/>
      <c r="U26" s="129"/>
      <c r="V26" s="129"/>
      <c r="W26" s="129"/>
    </row>
    <row r="27" spans="1:23" ht="20.399999999999999" customHeight="1" thickTop="1" x14ac:dyDescent="0.25">
      <c r="A27" s="125"/>
      <c r="B27" s="125"/>
      <c r="C27" s="125"/>
      <c r="D27" s="125"/>
      <c r="E27" s="125"/>
      <c r="F27" s="125"/>
      <c r="G27" s="125"/>
      <c r="H27" s="125"/>
      <c r="I27" s="125">
        <f t="shared" ref="I27" si="7">E27+I25</f>
        <v>2</v>
      </c>
      <c r="J27" s="125"/>
      <c r="K27" s="125"/>
      <c r="L27" s="125"/>
      <c r="N27" s="129"/>
      <c r="O27" s="129"/>
      <c r="P27" s="129"/>
      <c r="Q27" s="129"/>
      <c r="R27" s="129"/>
      <c r="S27" s="129"/>
      <c r="T27" s="129"/>
      <c r="U27" s="129"/>
      <c r="V27" s="129"/>
      <c r="W27" s="129"/>
    </row>
    <row r="28" spans="1:23" ht="20.399999999999999" customHeight="1" thickBot="1" x14ac:dyDescent="0.3">
      <c r="A28" s="126"/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N28" s="129"/>
      <c r="O28" s="129"/>
      <c r="P28" s="129"/>
      <c r="Q28" s="129"/>
      <c r="R28" s="129"/>
      <c r="S28" s="129"/>
      <c r="T28" s="129"/>
      <c r="U28" s="129"/>
      <c r="V28" s="129"/>
      <c r="W28" s="129"/>
    </row>
    <row r="29" spans="1:23" ht="20.399999999999999" customHeight="1" thickTop="1" x14ac:dyDescent="0.25">
      <c r="A29" s="125"/>
      <c r="B29" s="125"/>
      <c r="C29" s="125"/>
      <c r="D29" s="125"/>
      <c r="E29" s="125"/>
      <c r="F29" s="125"/>
      <c r="G29" s="125"/>
      <c r="H29" s="125"/>
      <c r="I29" s="125">
        <f t="shared" ref="I29" si="8">E29+I27</f>
        <v>2</v>
      </c>
      <c r="J29" s="125"/>
      <c r="K29" s="125"/>
      <c r="L29" s="125"/>
      <c r="N29" s="129"/>
      <c r="O29" s="129"/>
      <c r="P29" s="129"/>
      <c r="Q29" s="129"/>
      <c r="R29" s="129"/>
      <c r="S29" s="129"/>
      <c r="T29" s="129"/>
      <c r="U29" s="129"/>
      <c r="V29" s="129"/>
      <c r="W29" s="129"/>
    </row>
    <row r="30" spans="1:23" ht="20.399999999999999" customHeight="1" thickBot="1" x14ac:dyDescent="0.3">
      <c r="A30" s="126"/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N30" s="129"/>
      <c r="O30" s="129"/>
      <c r="P30" s="129"/>
      <c r="Q30" s="129"/>
      <c r="R30" s="129"/>
      <c r="S30" s="129"/>
      <c r="T30" s="129"/>
      <c r="U30" s="129"/>
      <c r="V30" s="129"/>
      <c r="W30" s="129"/>
    </row>
    <row r="31" spans="1:23" ht="20.399999999999999" customHeight="1" thickTop="1" x14ac:dyDescent="0.25"/>
    <row r="32" spans="1:23" ht="20.399999999999999" customHeight="1" x14ac:dyDescent="0.25">
      <c r="I32" s="29"/>
      <c r="J32" s="29"/>
      <c r="K32" s="29"/>
      <c r="L32" s="29"/>
      <c r="M32" s="29"/>
      <c r="N32" s="29"/>
      <c r="O32" s="29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A13:D14"/>
    <mergeCell ref="A15:D16"/>
    <mergeCell ref="E9:H10"/>
    <mergeCell ref="I9:L10"/>
    <mergeCell ref="E13:H14"/>
    <mergeCell ref="I11:L12"/>
    <mergeCell ref="E15:H16"/>
    <mergeCell ref="I13:L14"/>
    <mergeCell ref="I15:L16"/>
    <mergeCell ref="N3:W30"/>
    <mergeCell ref="A7:D8"/>
    <mergeCell ref="E7:H8"/>
    <mergeCell ref="I7:L8"/>
    <mergeCell ref="A11:D12"/>
    <mergeCell ref="E11:H12"/>
    <mergeCell ref="A21:D22"/>
    <mergeCell ref="E21:H22"/>
    <mergeCell ref="I21:L22"/>
    <mergeCell ref="A19:D20"/>
    <mergeCell ref="E19:H20"/>
    <mergeCell ref="I17:L18"/>
    <mergeCell ref="I19:L20"/>
    <mergeCell ref="A17:D18"/>
    <mergeCell ref="E17:H18"/>
    <mergeCell ref="A29:D30"/>
    <mergeCell ref="E29:H30"/>
    <mergeCell ref="I29:L30"/>
    <mergeCell ref="A27:D28"/>
    <mergeCell ref="E27:H28"/>
    <mergeCell ref="I27:L28"/>
    <mergeCell ref="A23:D24"/>
    <mergeCell ref="E23:H24"/>
    <mergeCell ref="A25:D26"/>
    <mergeCell ref="E25:H26"/>
    <mergeCell ref="I23:L24"/>
    <mergeCell ref="I25:L26"/>
    <mergeCell ref="A5:C6"/>
    <mergeCell ref="D5:F6"/>
    <mergeCell ref="G5:I6"/>
    <mergeCell ref="J5:L6"/>
    <mergeCell ref="A3:D4"/>
    <mergeCell ref="E3:L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Q16" sqref="Q16:W18"/>
    </sheetView>
  </sheetViews>
  <sheetFormatPr defaultRowHeight="20.399999999999999" customHeight="1" x14ac:dyDescent="0.25"/>
  <sheetData>
    <row r="1" spans="1:31" ht="20.399999999999999" customHeight="1" x14ac:dyDescent="0.25">
      <c r="A1" s="130" t="s">
        <v>6</v>
      </c>
      <c r="B1" s="130"/>
      <c r="C1" s="130"/>
      <c r="D1" s="130"/>
      <c r="E1" s="130"/>
      <c r="F1" s="130"/>
      <c r="G1" s="130"/>
      <c r="H1" s="40"/>
      <c r="I1" s="130" t="s">
        <v>7</v>
      </c>
      <c r="J1" s="130"/>
      <c r="K1" s="130"/>
      <c r="L1" s="130"/>
      <c r="M1" s="130"/>
      <c r="N1" s="130"/>
      <c r="O1" s="130"/>
      <c r="P1" s="40"/>
      <c r="Q1" s="130" t="s">
        <v>270</v>
      </c>
      <c r="R1" s="130"/>
      <c r="S1" s="130"/>
      <c r="T1" s="130"/>
      <c r="U1" s="130"/>
      <c r="V1" s="130"/>
      <c r="W1" s="130"/>
      <c r="X1" s="40"/>
      <c r="Y1" s="130" t="s">
        <v>8</v>
      </c>
      <c r="Z1" s="130"/>
      <c r="AA1" s="130"/>
      <c r="AB1" s="130"/>
      <c r="AC1" s="130"/>
      <c r="AD1" s="130"/>
      <c r="AE1" s="130"/>
    </row>
    <row r="2" spans="1:31" ht="20.399999999999999" customHeight="1" x14ac:dyDescent="0.25">
      <c r="A2" s="130"/>
      <c r="B2" s="130"/>
      <c r="C2" s="130"/>
      <c r="D2" s="130"/>
      <c r="E2" s="130"/>
      <c r="F2" s="130"/>
      <c r="G2" s="130"/>
      <c r="H2" s="40"/>
      <c r="I2" s="130"/>
      <c r="J2" s="130"/>
      <c r="K2" s="130"/>
      <c r="L2" s="130"/>
      <c r="M2" s="130"/>
      <c r="N2" s="130"/>
      <c r="O2" s="130"/>
      <c r="P2" s="40"/>
      <c r="Q2" s="130"/>
      <c r="R2" s="130"/>
      <c r="S2" s="130"/>
      <c r="T2" s="130"/>
      <c r="U2" s="130"/>
      <c r="V2" s="130"/>
      <c r="W2" s="130"/>
      <c r="X2" s="40"/>
      <c r="Y2" s="130"/>
      <c r="Z2" s="130"/>
      <c r="AA2" s="130"/>
      <c r="AB2" s="130"/>
      <c r="AC2" s="130"/>
      <c r="AD2" s="130"/>
      <c r="AE2" s="130"/>
    </row>
    <row r="3" spans="1:31" ht="20.399999999999999" customHeight="1" x14ac:dyDescent="0.25">
      <c r="A3" s="131" t="s">
        <v>131</v>
      </c>
      <c r="B3" s="131"/>
      <c r="C3" s="131"/>
      <c r="D3" s="131"/>
      <c r="E3" s="131"/>
      <c r="F3" s="131"/>
      <c r="G3" s="131"/>
      <c r="I3" s="131"/>
      <c r="J3" s="131"/>
      <c r="K3" s="131"/>
      <c r="L3" s="131"/>
      <c r="M3" s="131"/>
      <c r="N3" s="131"/>
      <c r="O3" s="131"/>
      <c r="Q3" s="132" t="s">
        <v>271</v>
      </c>
      <c r="R3" s="132"/>
      <c r="S3" s="132"/>
      <c r="T3" s="133">
        <v>0</v>
      </c>
      <c r="U3" s="133"/>
      <c r="V3" s="133"/>
      <c r="W3" s="133"/>
      <c r="Y3" s="131"/>
      <c r="Z3" s="131"/>
      <c r="AA3" s="131"/>
      <c r="AB3" s="131"/>
      <c r="AC3" s="131"/>
      <c r="AD3" s="131"/>
      <c r="AE3" s="131"/>
    </row>
    <row r="4" spans="1:31" ht="20.399999999999999" customHeight="1" x14ac:dyDescent="0.25">
      <c r="A4" s="131"/>
      <c r="B4" s="131"/>
      <c r="C4" s="131"/>
      <c r="D4" s="131"/>
      <c r="E4" s="131"/>
      <c r="F4" s="131"/>
      <c r="G4" s="131"/>
      <c r="I4" s="131"/>
      <c r="J4" s="131"/>
      <c r="K4" s="131"/>
      <c r="L4" s="131"/>
      <c r="M4" s="131"/>
      <c r="N4" s="131"/>
      <c r="O4" s="131"/>
      <c r="Q4" s="132"/>
      <c r="R4" s="132"/>
      <c r="S4" s="132"/>
      <c r="T4" s="133"/>
      <c r="U4" s="133"/>
      <c r="V4" s="133"/>
      <c r="W4" s="133"/>
      <c r="Y4" s="131"/>
      <c r="Z4" s="131"/>
      <c r="AA4" s="131"/>
      <c r="AB4" s="131"/>
      <c r="AC4" s="131"/>
      <c r="AD4" s="131"/>
      <c r="AE4" s="131"/>
    </row>
    <row r="5" spans="1:31" ht="20.399999999999999" customHeight="1" x14ac:dyDescent="0.25">
      <c r="A5" s="131"/>
      <c r="B5" s="131"/>
      <c r="C5" s="131"/>
      <c r="D5" s="131"/>
      <c r="E5" s="131"/>
      <c r="F5" s="131"/>
      <c r="G5" s="131"/>
      <c r="I5" s="131"/>
      <c r="J5" s="131"/>
      <c r="K5" s="131"/>
      <c r="L5" s="131"/>
      <c r="M5" s="131"/>
      <c r="N5" s="131"/>
      <c r="O5" s="131"/>
      <c r="Q5" s="132" t="s">
        <v>272</v>
      </c>
      <c r="R5" s="132"/>
      <c r="S5" s="132"/>
      <c r="T5" s="133" t="s">
        <v>274</v>
      </c>
      <c r="U5" s="133"/>
      <c r="V5" s="133"/>
      <c r="W5" s="133"/>
      <c r="Y5" s="131"/>
      <c r="Z5" s="131"/>
      <c r="AA5" s="131"/>
      <c r="AB5" s="131"/>
      <c r="AC5" s="131"/>
      <c r="AD5" s="131"/>
      <c r="AE5" s="131"/>
    </row>
    <row r="6" spans="1:31" ht="20.399999999999999" customHeight="1" x14ac:dyDescent="0.25">
      <c r="A6" s="131"/>
      <c r="B6" s="131"/>
      <c r="C6" s="131"/>
      <c r="D6" s="131"/>
      <c r="E6" s="131"/>
      <c r="F6" s="131"/>
      <c r="G6" s="131"/>
      <c r="I6" s="131"/>
      <c r="J6" s="131"/>
      <c r="K6" s="131"/>
      <c r="L6" s="131"/>
      <c r="M6" s="131"/>
      <c r="N6" s="131"/>
      <c r="O6" s="131"/>
      <c r="Q6" s="132"/>
      <c r="R6" s="132"/>
      <c r="S6" s="132"/>
      <c r="T6" s="133"/>
      <c r="U6" s="133"/>
      <c r="V6" s="133"/>
      <c r="W6" s="133"/>
      <c r="Y6" s="131"/>
      <c r="Z6" s="131"/>
      <c r="AA6" s="131"/>
      <c r="AB6" s="131"/>
      <c r="AC6" s="131"/>
      <c r="AD6" s="131"/>
      <c r="AE6" s="131"/>
    </row>
    <row r="7" spans="1:31" ht="20.399999999999999" customHeight="1" x14ac:dyDescent="0.25">
      <c r="A7" s="131"/>
      <c r="B7" s="131"/>
      <c r="C7" s="131"/>
      <c r="D7" s="131"/>
      <c r="E7" s="131"/>
      <c r="F7" s="131"/>
      <c r="G7" s="131"/>
      <c r="I7" s="131"/>
      <c r="J7" s="131"/>
      <c r="K7" s="131"/>
      <c r="L7" s="131"/>
      <c r="M7" s="131"/>
      <c r="N7" s="131"/>
      <c r="O7" s="131"/>
      <c r="Q7" s="132" t="s">
        <v>273</v>
      </c>
      <c r="R7" s="132"/>
      <c r="S7" s="132"/>
      <c r="T7" s="133" t="s">
        <v>275</v>
      </c>
      <c r="U7" s="133"/>
      <c r="V7" s="133"/>
      <c r="W7" s="133"/>
      <c r="Y7" s="131"/>
      <c r="Z7" s="131"/>
      <c r="AA7" s="131"/>
      <c r="AB7" s="131"/>
      <c r="AC7" s="131"/>
      <c r="AD7" s="131"/>
      <c r="AE7" s="131"/>
    </row>
    <row r="8" spans="1:31" ht="20.399999999999999" customHeight="1" x14ac:dyDescent="0.25">
      <c r="A8" s="131"/>
      <c r="B8" s="131"/>
      <c r="C8" s="131"/>
      <c r="D8" s="131"/>
      <c r="E8" s="131"/>
      <c r="F8" s="131"/>
      <c r="G8" s="131"/>
      <c r="I8" s="131"/>
      <c r="J8" s="131"/>
      <c r="K8" s="131"/>
      <c r="L8" s="131"/>
      <c r="M8" s="131"/>
      <c r="N8" s="131"/>
      <c r="O8" s="131"/>
      <c r="Q8" s="132"/>
      <c r="R8" s="132"/>
      <c r="S8" s="132"/>
      <c r="T8" s="133"/>
      <c r="U8" s="133"/>
      <c r="V8" s="133"/>
      <c r="W8" s="133"/>
      <c r="Y8" s="131"/>
      <c r="Z8" s="131"/>
      <c r="AA8" s="131"/>
      <c r="AB8" s="131"/>
      <c r="AC8" s="131"/>
      <c r="AD8" s="131"/>
      <c r="AE8" s="131"/>
    </row>
    <row r="9" spans="1:31" ht="20.399999999999999" customHeight="1" x14ac:dyDescent="0.25">
      <c r="A9" s="131"/>
      <c r="B9" s="131"/>
      <c r="C9" s="131"/>
      <c r="D9" s="131"/>
      <c r="E9" s="131"/>
      <c r="F9" s="131"/>
      <c r="G9" s="131"/>
      <c r="I9" s="131"/>
      <c r="J9" s="131"/>
      <c r="K9" s="131"/>
      <c r="L9" s="131"/>
      <c r="M9" s="131"/>
      <c r="N9" s="131"/>
      <c r="O9" s="131"/>
      <c r="Q9" s="132" t="s">
        <v>276</v>
      </c>
      <c r="R9" s="132"/>
      <c r="S9" s="132"/>
      <c r="T9" s="132"/>
      <c r="U9" s="132"/>
      <c r="V9" s="132"/>
      <c r="W9" s="132"/>
      <c r="Y9" s="131"/>
      <c r="Z9" s="131"/>
      <c r="AA9" s="131"/>
      <c r="AB9" s="131"/>
      <c r="AC9" s="131"/>
      <c r="AD9" s="131"/>
      <c r="AE9" s="131"/>
    </row>
    <row r="10" spans="1:31" ht="20.399999999999999" customHeight="1" x14ac:dyDescent="0.25">
      <c r="A10" s="131"/>
      <c r="B10" s="131"/>
      <c r="C10" s="131"/>
      <c r="D10" s="131"/>
      <c r="E10" s="131"/>
      <c r="F10" s="131"/>
      <c r="G10" s="131"/>
      <c r="I10" s="131"/>
      <c r="J10" s="131"/>
      <c r="K10" s="131"/>
      <c r="L10" s="131"/>
      <c r="M10" s="131"/>
      <c r="N10" s="131"/>
      <c r="O10" s="131"/>
      <c r="Q10" s="132"/>
      <c r="R10" s="132"/>
      <c r="S10" s="132"/>
      <c r="T10" s="132"/>
      <c r="U10" s="132"/>
      <c r="V10" s="132"/>
      <c r="W10" s="132"/>
      <c r="Y10" s="131"/>
      <c r="Z10" s="131"/>
      <c r="AA10" s="131"/>
      <c r="AB10" s="131"/>
      <c r="AC10" s="131"/>
      <c r="AD10" s="131"/>
      <c r="AE10" s="131"/>
    </row>
    <row r="11" spans="1:31" ht="20.399999999999999" customHeight="1" x14ac:dyDescent="0.25">
      <c r="A11" s="131"/>
      <c r="B11" s="131"/>
      <c r="C11" s="131"/>
      <c r="D11" s="131"/>
      <c r="E11" s="131"/>
      <c r="F11" s="131"/>
      <c r="G11" s="131"/>
      <c r="I11" s="131"/>
      <c r="J11" s="131"/>
      <c r="K11" s="131"/>
      <c r="L11" s="131"/>
      <c r="M11" s="131"/>
      <c r="N11" s="131"/>
      <c r="O11" s="131"/>
      <c r="Q11" s="133" t="s">
        <v>277</v>
      </c>
      <c r="R11" s="133"/>
      <c r="S11" s="133"/>
      <c r="T11" s="133"/>
      <c r="U11" s="133"/>
      <c r="V11" s="133"/>
      <c r="W11" s="133"/>
      <c r="Y11" s="131"/>
      <c r="Z11" s="131"/>
      <c r="AA11" s="131"/>
      <c r="AB11" s="131"/>
      <c r="AC11" s="131"/>
      <c r="AD11" s="131"/>
      <c r="AE11" s="131"/>
    </row>
    <row r="12" spans="1:31" ht="20.399999999999999" customHeight="1" x14ac:dyDescent="0.25">
      <c r="A12" s="131"/>
      <c r="B12" s="131"/>
      <c r="C12" s="131"/>
      <c r="D12" s="131"/>
      <c r="E12" s="131"/>
      <c r="F12" s="131"/>
      <c r="G12" s="131"/>
      <c r="I12" s="131"/>
      <c r="J12" s="131"/>
      <c r="K12" s="131"/>
      <c r="L12" s="131"/>
      <c r="M12" s="131"/>
      <c r="N12" s="131"/>
      <c r="O12" s="131"/>
      <c r="Q12" s="133"/>
      <c r="R12" s="133"/>
      <c r="S12" s="133"/>
      <c r="T12" s="133"/>
      <c r="U12" s="133"/>
      <c r="V12" s="133"/>
      <c r="W12" s="133"/>
      <c r="Y12" s="131"/>
      <c r="Z12" s="131"/>
      <c r="AA12" s="131"/>
      <c r="AB12" s="131"/>
      <c r="AC12" s="131"/>
      <c r="AD12" s="131"/>
      <c r="AE12" s="131"/>
    </row>
    <row r="13" spans="1:31" ht="20.399999999999999" customHeight="1" x14ac:dyDescent="0.25">
      <c r="A13" s="131"/>
      <c r="B13" s="131"/>
      <c r="C13" s="131"/>
      <c r="D13" s="131"/>
      <c r="E13" s="131"/>
      <c r="F13" s="131"/>
      <c r="G13" s="131"/>
      <c r="I13" s="131"/>
      <c r="J13" s="131"/>
      <c r="K13" s="131"/>
      <c r="L13" s="131"/>
      <c r="M13" s="131"/>
      <c r="N13" s="131"/>
      <c r="O13" s="131"/>
      <c r="Q13" s="133"/>
      <c r="R13" s="133"/>
      <c r="S13" s="133"/>
      <c r="T13" s="133"/>
      <c r="U13" s="133"/>
      <c r="V13" s="133"/>
      <c r="W13" s="133"/>
      <c r="Y13" s="131"/>
      <c r="Z13" s="131"/>
      <c r="AA13" s="131"/>
      <c r="AB13" s="131"/>
      <c r="AC13" s="131"/>
      <c r="AD13" s="131"/>
      <c r="AE13" s="131"/>
    </row>
    <row r="14" spans="1:31" ht="20.399999999999999" customHeight="1" x14ac:dyDescent="0.25">
      <c r="A14" s="131"/>
      <c r="B14" s="131"/>
      <c r="C14" s="131"/>
      <c r="D14" s="131"/>
      <c r="E14" s="131"/>
      <c r="F14" s="131"/>
      <c r="G14" s="131"/>
      <c r="I14" s="130" t="s">
        <v>126</v>
      </c>
      <c r="J14" s="130"/>
      <c r="K14" s="130"/>
      <c r="L14" s="130"/>
      <c r="M14" s="130"/>
      <c r="N14" s="130"/>
      <c r="O14" s="130"/>
      <c r="Q14" s="132" t="s">
        <v>278</v>
      </c>
      <c r="R14" s="132"/>
      <c r="S14" s="132"/>
      <c r="T14" s="132"/>
      <c r="U14" s="132"/>
      <c r="V14" s="132"/>
      <c r="W14" s="132"/>
      <c r="Y14" s="131"/>
      <c r="Z14" s="131"/>
      <c r="AA14" s="131"/>
      <c r="AB14" s="131"/>
      <c r="AC14" s="131"/>
      <c r="AD14" s="131"/>
      <c r="AE14" s="131"/>
    </row>
    <row r="15" spans="1:31" ht="20.399999999999999" customHeight="1" x14ac:dyDescent="0.25">
      <c r="A15" s="131"/>
      <c r="B15" s="131"/>
      <c r="C15" s="131"/>
      <c r="D15" s="131"/>
      <c r="E15" s="131"/>
      <c r="F15" s="131"/>
      <c r="G15" s="131"/>
      <c r="I15" s="130"/>
      <c r="J15" s="130"/>
      <c r="K15" s="130"/>
      <c r="L15" s="130"/>
      <c r="M15" s="130"/>
      <c r="N15" s="130"/>
      <c r="O15" s="130"/>
      <c r="Q15" s="132"/>
      <c r="R15" s="132"/>
      <c r="S15" s="132"/>
      <c r="T15" s="132"/>
      <c r="U15" s="132"/>
      <c r="V15" s="132"/>
      <c r="W15" s="132"/>
      <c r="Y15" s="131"/>
      <c r="Z15" s="131"/>
      <c r="AA15" s="131"/>
      <c r="AB15" s="131"/>
      <c r="AC15" s="131"/>
      <c r="AD15" s="131"/>
      <c r="AE15" s="131"/>
    </row>
    <row r="16" spans="1:31" ht="20.399999999999999" customHeight="1" x14ac:dyDescent="0.25">
      <c r="A16" s="131"/>
      <c r="B16" s="131"/>
      <c r="C16" s="131"/>
      <c r="D16" s="131"/>
      <c r="E16" s="131"/>
      <c r="F16" s="131"/>
      <c r="G16" s="131"/>
      <c r="I16" s="131" t="s">
        <v>128</v>
      </c>
      <c r="J16" s="131"/>
      <c r="K16" s="131"/>
      <c r="L16" s="131"/>
      <c r="M16" s="131"/>
      <c r="N16" s="131"/>
      <c r="O16" s="131"/>
      <c r="Q16" s="133" t="s">
        <v>279</v>
      </c>
      <c r="R16" s="133"/>
      <c r="S16" s="133"/>
      <c r="T16" s="133"/>
      <c r="U16" s="133"/>
      <c r="V16" s="133"/>
      <c r="W16" s="133"/>
      <c r="Y16" s="131"/>
      <c r="Z16" s="131"/>
      <c r="AA16" s="131"/>
      <c r="AB16" s="131"/>
      <c r="AC16" s="131"/>
      <c r="AD16" s="131"/>
      <c r="AE16" s="131"/>
    </row>
    <row r="17" spans="1:31" ht="20.399999999999999" customHeight="1" x14ac:dyDescent="0.25">
      <c r="A17" s="131"/>
      <c r="B17" s="131"/>
      <c r="C17" s="131"/>
      <c r="D17" s="131"/>
      <c r="E17" s="131"/>
      <c r="F17" s="131"/>
      <c r="G17" s="131"/>
      <c r="I17" s="131"/>
      <c r="J17" s="131"/>
      <c r="K17" s="131"/>
      <c r="L17" s="131"/>
      <c r="M17" s="131"/>
      <c r="N17" s="131"/>
      <c r="O17" s="131"/>
      <c r="Q17" s="133"/>
      <c r="R17" s="133"/>
      <c r="S17" s="133"/>
      <c r="T17" s="133"/>
      <c r="U17" s="133"/>
      <c r="V17" s="133"/>
      <c r="W17" s="133"/>
      <c r="Y17" s="131"/>
      <c r="Z17" s="131"/>
      <c r="AA17" s="131"/>
      <c r="AB17" s="131"/>
      <c r="AC17" s="131"/>
      <c r="AD17" s="131"/>
      <c r="AE17" s="131"/>
    </row>
    <row r="18" spans="1:31" ht="20.399999999999999" customHeight="1" x14ac:dyDescent="0.25">
      <c r="A18" s="131"/>
      <c r="B18" s="131"/>
      <c r="C18" s="131"/>
      <c r="D18" s="131"/>
      <c r="E18" s="131"/>
      <c r="F18" s="131"/>
      <c r="G18" s="131"/>
      <c r="I18" s="131"/>
      <c r="J18" s="131"/>
      <c r="K18" s="131"/>
      <c r="L18" s="131"/>
      <c r="M18" s="131"/>
      <c r="N18" s="131"/>
      <c r="O18" s="131"/>
      <c r="Q18" s="133"/>
      <c r="R18" s="133"/>
      <c r="S18" s="133"/>
      <c r="T18" s="133"/>
      <c r="U18" s="133"/>
      <c r="V18" s="133"/>
      <c r="W18" s="133"/>
      <c r="Y18" s="131"/>
      <c r="Z18" s="131"/>
      <c r="AA18" s="131"/>
      <c r="AB18" s="131"/>
      <c r="AC18" s="131"/>
      <c r="AD18" s="131"/>
      <c r="AE18" s="131"/>
    </row>
    <row r="19" spans="1:31" ht="20.399999999999999" customHeight="1" x14ac:dyDescent="0.25">
      <c r="A19" s="131"/>
      <c r="B19" s="131"/>
      <c r="C19" s="131"/>
      <c r="D19" s="131"/>
      <c r="E19" s="131"/>
      <c r="F19" s="131"/>
      <c r="G19" s="131"/>
      <c r="I19" s="131"/>
      <c r="J19" s="131"/>
      <c r="K19" s="131"/>
      <c r="L19" s="131"/>
      <c r="M19" s="131"/>
      <c r="N19" s="131"/>
      <c r="O19" s="131"/>
      <c r="Y19" s="131"/>
      <c r="Z19" s="131"/>
      <c r="AA19" s="131"/>
      <c r="AB19" s="131"/>
      <c r="AC19" s="131"/>
      <c r="AD19" s="131"/>
      <c r="AE19" s="131"/>
    </row>
    <row r="20" spans="1:31" ht="20.399999999999999" customHeight="1" x14ac:dyDescent="0.25">
      <c r="A20" s="131"/>
      <c r="B20" s="131"/>
      <c r="C20" s="131"/>
      <c r="D20" s="131"/>
      <c r="E20" s="131"/>
      <c r="F20" s="131"/>
      <c r="G20" s="131"/>
      <c r="I20" s="131"/>
      <c r="J20" s="131"/>
      <c r="K20" s="131"/>
      <c r="L20" s="131"/>
      <c r="M20" s="131"/>
      <c r="N20" s="131"/>
      <c r="O20" s="131"/>
      <c r="Y20" s="131"/>
      <c r="Z20" s="131"/>
      <c r="AA20" s="131"/>
      <c r="AB20" s="131"/>
      <c r="AC20" s="131"/>
      <c r="AD20" s="131"/>
      <c r="AE20" s="131"/>
    </row>
    <row r="21" spans="1:31" ht="20.399999999999999" customHeight="1" x14ac:dyDescent="0.25">
      <c r="A21" s="131"/>
      <c r="B21" s="131"/>
      <c r="C21" s="131"/>
      <c r="D21" s="131"/>
      <c r="E21" s="131"/>
      <c r="F21" s="131"/>
      <c r="G21" s="131"/>
      <c r="I21" s="131"/>
      <c r="J21" s="131"/>
      <c r="K21" s="131"/>
      <c r="L21" s="131"/>
      <c r="M21" s="131"/>
      <c r="N21" s="131"/>
      <c r="O21" s="131"/>
      <c r="Y21" s="131"/>
      <c r="Z21" s="131"/>
      <c r="AA21" s="131"/>
      <c r="AB21" s="131"/>
      <c r="AC21" s="131"/>
      <c r="AD21" s="131"/>
      <c r="AE21" s="131"/>
    </row>
    <row r="22" spans="1:31" ht="20.399999999999999" customHeight="1" x14ac:dyDescent="0.25">
      <c r="A22" s="131"/>
      <c r="B22" s="131"/>
      <c r="C22" s="131"/>
      <c r="D22" s="131"/>
      <c r="E22" s="131"/>
      <c r="F22" s="131"/>
      <c r="G22" s="131"/>
      <c r="I22" s="131"/>
      <c r="J22" s="131"/>
      <c r="K22" s="131"/>
      <c r="L22" s="131"/>
      <c r="M22" s="131"/>
      <c r="N22" s="131"/>
      <c r="O22" s="131"/>
      <c r="Y22" s="131"/>
      <c r="Z22" s="131"/>
      <c r="AA22" s="131"/>
      <c r="AB22" s="131"/>
      <c r="AC22" s="131"/>
      <c r="AD22" s="131"/>
      <c r="AE22" s="131"/>
    </row>
    <row r="23" spans="1:31" ht="20.399999999999999" customHeight="1" x14ac:dyDescent="0.25">
      <c r="A23" s="131"/>
      <c r="B23" s="131"/>
      <c r="C23" s="131"/>
      <c r="D23" s="131"/>
      <c r="E23" s="131"/>
      <c r="F23" s="131"/>
      <c r="G23" s="131"/>
      <c r="I23" s="131"/>
      <c r="J23" s="131"/>
      <c r="K23" s="131"/>
      <c r="L23" s="131"/>
      <c r="M23" s="131"/>
      <c r="N23" s="131"/>
      <c r="O23" s="131"/>
      <c r="Y23" s="131"/>
      <c r="Z23" s="131"/>
      <c r="AA23" s="131"/>
      <c r="AB23" s="131"/>
      <c r="AC23" s="131"/>
      <c r="AD23" s="131"/>
      <c r="AE23" s="131"/>
    </row>
    <row r="24" spans="1:31" ht="20.399999999999999" customHeight="1" x14ac:dyDescent="0.25">
      <c r="A24" s="131"/>
      <c r="B24" s="131"/>
      <c r="C24" s="131"/>
      <c r="D24" s="131"/>
      <c r="E24" s="131"/>
      <c r="F24" s="131"/>
      <c r="G24" s="131"/>
      <c r="I24" s="131"/>
      <c r="J24" s="131"/>
      <c r="K24" s="131"/>
      <c r="L24" s="131"/>
      <c r="M24" s="131"/>
      <c r="N24" s="131"/>
      <c r="O24" s="131"/>
      <c r="Y24" s="131"/>
      <c r="Z24" s="131"/>
      <c r="AA24" s="131"/>
      <c r="AB24" s="131"/>
      <c r="AC24" s="131"/>
      <c r="AD24" s="131"/>
      <c r="AE24" s="131"/>
    </row>
    <row r="25" spans="1:31" ht="20.399999999999999" customHeight="1" x14ac:dyDescent="0.25">
      <c r="A25" s="131"/>
      <c r="B25" s="131"/>
      <c r="C25" s="131"/>
      <c r="D25" s="131"/>
      <c r="E25" s="131"/>
      <c r="F25" s="131"/>
      <c r="G25" s="131"/>
      <c r="I25" s="131"/>
      <c r="J25" s="131"/>
      <c r="K25" s="131"/>
      <c r="L25" s="131"/>
      <c r="M25" s="131"/>
      <c r="N25" s="131"/>
      <c r="O25" s="131"/>
      <c r="U25" s="29"/>
      <c r="V25" s="29"/>
      <c r="W25" s="29"/>
      <c r="Y25" s="131"/>
      <c r="Z25" s="131"/>
      <c r="AA25" s="131"/>
      <c r="AB25" s="131"/>
      <c r="AC25" s="131"/>
      <c r="AD25" s="131"/>
      <c r="AE25" s="131"/>
    </row>
    <row r="26" spans="1:31" ht="20.399999999999999" customHeight="1" x14ac:dyDescent="0.25">
      <c r="I26" s="29"/>
      <c r="J26" s="29"/>
      <c r="K26" s="29"/>
      <c r="L26" s="29"/>
      <c r="M26" s="29"/>
      <c r="N26" s="29"/>
      <c r="O26" s="29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34" t="s">
        <v>64</v>
      </c>
      <c r="B1" s="69"/>
      <c r="C1" s="69"/>
      <c r="D1" s="69"/>
      <c r="E1" s="69"/>
      <c r="F1" s="69"/>
      <c r="G1" s="69"/>
      <c r="I1" s="134" t="s">
        <v>65</v>
      </c>
      <c r="J1" s="69"/>
      <c r="K1" s="69"/>
      <c r="L1" s="69"/>
      <c r="M1" s="69"/>
      <c r="N1" s="69"/>
      <c r="O1" s="69"/>
      <c r="Q1" s="134" t="s">
        <v>66</v>
      </c>
      <c r="R1" s="69"/>
      <c r="S1" s="69"/>
      <c r="T1" s="69"/>
      <c r="U1" s="69"/>
      <c r="V1" s="69"/>
      <c r="W1" s="69"/>
    </row>
    <row r="2" spans="1:23" x14ac:dyDescent="0.25">
      <c r="A2" s="69"/>
      <c r="B2" s="69"/>
      <c r="C2" s="69"/>
      <c r="D2" s="69"/>
      <c r="E2" s="69"/>
      <c r="F2" s="69"/>
      <c r="G2" s="69"/>
      <c r="I2" s="69"/>
      <c r="J2" s="69"/>
      <c r="K2" s="69"/>
      <c r="L2" s="69"/>
      <c r="M2" s="69"/>
      <c r="N2" s="69"/>
      <c r="O2" s="69"/>
      <c r="Q2" s="69"/>
      <c r="R2" s="69"/>
      <c r="S2" s="69"/>
      <c r="T2" s="69"/>
      <c r="U2" s="69"/>
      <c r="V2" s="69"/>
      <c r="W2" s="69"/>
    </row>
    <row r="3" spans="1:23" x14ac:dyDescent="0.25">
      <c r="A3" s="69"/>
      <c r="B3" s="69"/>
      <c r="C3" s="69"/>
      <c r="D3" s="69"/>
      <c r="E3" s="69"/>
      <c r="F3" s="69"/>
      <c r="G3" s="69"/>
      <c r="I3" s="69"/>
      <c r="J3" s="69"/>
      <c r="K3" s="69"/>
      <c r="L3" s="69"/>
      <c r="M3" s="69"/>
      <c r="N3" s="69"/>
      <c r="O3" s="69"/>
      <c r="Q3" s="69"/>
      <c r="R3" s="69"/>
      <c r="S3" s="69"/>
      <c r="T3" s="69"/>
      <c r="U3" s="69"/>
      <c r="V3" s="69"/>
      <c r="W3" s="69"/>
    </row>
    <row r="4" spans="1:23" x14ac:dyDescent="0.25">
      <c r="A4" s="131" t="s">
        <v>67</v>
      </c>
      <c r="B4" s="131"/>
      <c r="C4" s="131"/>
      <c r="D4" s="131"/>
      <c r="E4" s="131"/>
      <c r="F4" s="131"/>
      <c r="G4" s="131"/>
      <c r="I4" s="131" t="s">
        <v>68</v>
      </c>
      <c r="J4" s="131"/>
      <c r="K4" s="131"/>
      <c r="L4" s="131"/>
      <c r="M4" s="131"/>
      <c r="N4" s="131"/>
      <c r="O4" s="131"/>
      <c r="Q4" s="131" t="s">
        <v>69</v>
      </c>
      <c r="R4" s="131"/>
      <c r="S4" s="131"/>
      <c r="T4" s="131"/>
      <c r="U4" s="131"/>
      <c r="V4" s="131"/>
      <c r="W4" s="131"/>
    </row>
    <row r="5" spans="1:23" x14ac:dyDescent="0.25">
      <c r="A5" s="131"/>
      <c r="B5" s="131"/>
      <c r="C5" s="131"/>
      <c r="D5" s="131"/>
      <c r="E5" s="131"/>
      <c r="F5" s="131"/>
      <c r="G5" s="131"/>
      <c r="I5" s="131"/>
      <c r="J5" s="131"/>
      <c r="K5" s="131"/>
      <c r="L5" s="131"/>
      <c r="M5" s="131"/>
      <c r="N5" s="131"/>
      <c r="O5" s="131"/>
      <c r="Q5" s="131"/>
      <c r="R5" s="131"/>
      <c r="S5" s="131"/>
      <c r="T5" s="131"/>
      <c r="U5" s="131"/>
      <c r="V5" s="131"/>
      <c r="W5" s="131"/>
    </row>
    <row r="6" spans="1:23" x14ac:dyDescent="0.25">
      <c r="A6" s="131"/>
      <c r="B6" s="131"/>
      <c r="C6" s="131"/>
      <c r="D6" s="131"/>
      <c r="E6" s="131"/>
      <c r="F6" s="131"/>
      <c r="G6" s="131"/>
      <c r="I6" s="131"/>
      <c r="J6" s="131"/>
      <c r="K6" s="131"/>
      <c r="L6" s="131"/>
      <c r="M6" s="131"/>
      <c r="N6" s="131"/>
      <c r="O6" s="131"/>
      <c r="Q6" s="131"/>
      <c r="R6" s="131"/>
      <c r="S6" s="131"/>
      <c r="T6" s="131"/>
      <c r="U6" s="131"/>
      <c r="V6" s="131"/>
      <c r="W6" s="131"/>
    </row>
    <row r="7" spans="1:23" x14ac:dyDescent="0.25">
      <c r="A7" s="131"/>
      <c r="B7" s="131"/>
      <c r="C7" s="131"/>
      <c r="D7" s="131"/>
      <c r="E7" s="131"/>
      <c r="F7" s="131"/>
      <c r="G7" s="131"/>
      <c r="I7" s="131"/>
      <c r="J7" s="131"/>
      <c r="K7" s="131"/>
      <c r="L7" s="131"/>
      <c r="M7" s="131"/>
      <c r="N7" s="131"/>
      <c r="O7" s="131"/>
      <c r="Q7" s="131"/>
      <c r="R7" s="131"/>
      <c r="S7" s="131"/>
      <c r="T7" s="131"/>
      <c r="U7" s="131"/>
      <c r="V7" s="131"/>
      <c r="W7" s="131"/>
    </row>
    <row r="8" spans="1:23" x14ac:dyDescent="0.25">
      <c r="A8" s="131"/>
      <c r="B8" s="131"/>
      <c r="C8" s="131"/>
      <c r="D8" s="131"/>
      <c r="E8" s="131"/>
      <c r="F8" s="131"/>
      <c r="G8" s="131"/>
      <c r="I8" s="131"/>
      <c r="J8" s="131"/>
      <c r="K8" s="131"/>
      <c r="L8" s="131"/>
      <c r="M8" s="131"/>
      <c r="N8" s="131"/>
      <c r="O8" s="131"/>
      <c r="Q8" s="131"/>
      <c r="R8" s="131"/>
      <c r="S8" s="131"/>
      <c r="T8" s="131"/>
      <c r="U8" s="131"/>
      <c r="V8" s="131"/>
      <c r="W8" s="131"/>
    </row>
    <row r="9" spans="1:23" x14ac:dyDescent="0.25">
      <c r="A9" s="131"/>
      <c r="B9" s="131"/>
      <c r="C9" s="131"/>
      <c r="D9" s="131"/>
      <c r="E9" s="131"/>
      <c r="F9" s="131"/>
      <c r="G9" s="131"/>
      <c r="I9" s="131"/>
      <c r="J9" s="131"/>
      <c r="K9" s="131"/>
      <c r="L9" s="131"/>
      <c r="M9" s="131"/>
      <c r="N9" s="131"/>
      <c r="O9" s="131"/>
      <c r="Q9" s="131"/>
      <c r="R9" s="131"/>
      <c r="S9" s="131"/>
      <c r="T9" s="131"/>
      <c r="U9" s="131"/>
      <c r="V9" s="131"/>
      <c r="W9" s="131"/>
    </row>
    <row r="10" spans="1:23" x14ac:dyDescent="0.25">
      <c r="A10" s="131"/>
      <c r="B10" s="131"/>
      <c r="C10" s="131"/>
      <c r="D10" s="131"/>
      <c r="E10" s="131"/>
      <c r="F10" s="131"/>
      <c r="G10" s="131"/>
      <c r="I10" s="131"/>
      <c r="J10" s="131"/>
      <c r="K10" s="131"/>
      <c r="L10" s="131"/>
      <c r="M10" s="131"/>
      <c r="N10" s="131"/>
      <c r="O10" s="131"/>
      <c r="Q10" s="131"/>
      <c r="R10" s="131"/>
      <c r="S10" s="131"/>
      <c r="T10" s="131"/>
      <c r="U10" s="131"/>
      <c r="V10" s="131"/>
      <c r="W10" s="131"/>
    </row>
    <row r="11" spans="1:23" x14ac:dyDescent="0.25">
      <c r="A11" s="131"/>
      <c r="B11" s="131"/>
      <c r="C11" s="131"/>
      <c r="D11" s="131"/>
      <c r="E11" s="131"/>
      <c r="F11" s="131"/>
      <c r="G11" s="131"/>
      <c r="I11" s="131"/>
      <c r="J11" s="131"/>
      <c r="K11" s="131"/>
      <c r="L11" s="131"/>
      <c r="M11" s="131"/>
      <c r="N11" s="131"/>
      <c r="O11" s="131"/>
      <c r="Q11" s="131"/>
      <c r="R11" s="131"/>
      <c r="S11" s="131"/>
      <c r="T11" s="131"/>
      <c r="U11" s="131"/>
      <c r="V11" s="131"/>
      <c r="W11" s="131"/>
    </row>
    <row r="12" spans="1:23" x14ac:dyDescent="0.25">
      <c r="A12" s="131"/>
      <c r="B12" s="131"/>
      <c r="C12" s="131"/>
      <c r="D12" s="131"/>
      <c r="E12" s="131"/>
      <c r="F12" s="131"/>
      <c r="G12" s="131"/>
      <c r="I12" s="131"/>
      <c r="J12" s="131"/>
      <c r="K12" s="131"/>
      <c r="L12" s="131"/>
      <c r="M12" s="131"/>
      <c r="N12" s="131"/>
      <c r="O12" s="131"/>
      <c r="Q12" s="131"/>
      <c r="R12" s="131"/>
      <c r="S12" s="131"/>
      <c r="T12" s="131"/>
      <c r="U12" s="131"/>
      <c r="V12" s="131"/>
      <c r="W12" s="131"/>
    </row>
    <row r="13" spans="1:23" x14ac:dyDescent="0.25">
      <c r="A13" s="131"/>
      <c r="B13" s="131"/>
      <c r="C13" s="131"/>
      <c r="D13" s="131"/>
      <c r="E13" s="131"/>
      <c r="F13" s="131"/>
      <c r="G13" s="131"/>
      <c r="I13" s="131"/>
      <c r="J13" s="131"/>
      <c r="K13" s="131"/>
      <c r="L13" s="131"/>
      <c r="M13" s="131"/>
      <c r="N13" s="131"/>
      <c r="O13" s="131"/>
      <c r="Q13" s="131"/>
      <c r="R13" s="131"/>
      <c r="S13" s="131"/>
      <c r="T13" s="131"/>
      <c r="U13" s="131"/>
      <c r="V13" s="131"/>
      <c r="W13" s="131"/>
    </row>
    <row r="14" spans="1:23" x14ac:dyDescent="0.25">
      <c r="A14" s="131"/>
      <c r="B14" s="131"/>
      <c r="C14" s="131"/>
      <c r="D14" s="131"/>
      <c r="E14" s="131"/>
      <c r="F14" s="131"/>
      <c r="G14" s="131"/>
      <c r="I14" s="131"/>
      <c r="J14" s="131"/>
      <c r="K14" s="131"/>
      <c r="L14" s="131"/>
      <c r="M14" s="131"/>
      <c r="N14" s="131"/>
      <c r="O14" s="131"/>
      <c r="Q14" s="131"/>
      <c r="R14" s="131"/>
      <c r="S14" s="131"/>
      <c r="T14" s="131"/>
      <c r="U14" s="131"/>
      <c r="V14" s="131"/>
      <c r="W14" s="131"/>
    </row>
    <row r="15" spans="1:23" x14ac:dyDescent="0.25">
      <c r="A15" s="131"/>
      <c r="B15" s="131"/>
      <c r="C15" s="131"/>
      <c r="D15" s="131"/>
      <c r="E15" s="131"/>
      <c r="F15" s="131"/>
      <c r="G15" s="131"/>
      <c r="I15" s="131"/>
      <c r="J15" s="131"/>
      <c r="K15" s="131"/>
      <c r="L15" s="131"/>
      <c r="M15" s="131"/>
      <c r="N15" s="131"/>
      <c r="O15" s="131"/>
      <c r="Q15" s="131"/>
      <c r="R15" s="131"/>
      <c r="S15" s="131"/>
      <c r="T15" s="131"/>
      <c r="U15" s="131"/>
      <c r="V15" s="131"/>
      <c r="W15" s="131"/>
    </row>
    <row r="16" spans="1:23" x14ac:dyDescent="0.25">
      <c r="A16" s="131"/>
      <c r="B16" s="131"/>
      <c r="C16" s="131"/>
      <c r="D16" s="131"/>
      <c r="E16" s="131"/>
      <c r="F16" s="131"/>
      <c r="G16" s="131"/>
      <c r="I16" s="131"/>
      <c r="J16" s="131"/>
      <c r="K16" s="131"/>
      <c r="L16" s="131"/>
      <c r="M16" s="131"/>
      <c r="N16" s="131"/>
      <c r="O16" s="131"/>
      <c r="Q16" s="131"/>
      <c r="R16" s="131"/>
      <c r="S16" s="131"/>
      <c r="T16" s="131"/>
      <c r="U16" s="131"/>
      <c r="V16" s="131"/>
      <c r="W16" s="131"/>
    </row>
    <row r="17" spans="1:23" x14ac:dyDescent="0.25">
      <c r="A17" s="131"/>
      <c r="B17" s="131"/>
      <c r="C17" s="131"/>
      <c r="D17" s="131"/>
      <c r="E17" s="131"/>
      <c r="F17" s="131"/>
      <c r="G17" s="131"/>
      <c r="I17" s="131"/>
      <c r="J17" s="131"/>
      <c r="K17" s="131"/>
      <c r="L17" s="131"/>
      <c r="M17" s="131"/>
      <c r="N17" s="131"/>
      <c r="O17" s="131"/>
      <c r="Q17" s="131"/>
      <c r="R17" s="131"/>
      <c r="S17" s="131"/>
      <c r="T17" s="131"/>
      <c r="U17" s="131"/>
      <c r="V17" s="131"/>
      <c r="W17" s="131"/>
    </row>
    <row r="18" spans="1:23" x14ac:dyDescent="0.25">
      <c r="A18" s="131"/>
      <c r="B18" s="131"/>
      <c r="C18" s="131"/>
      <c r="D18" s="131"/>
      <c r="E18" s="131"/>
      <c r="F18" s="131"/>
      <c r="G18" s="131"/>
      <c r="I18" s="131"/>
      <c r="J18" s="131"/>
      <c r="K18" s="131"/>
      <c r="L18" s="131"/>
      <c r="M18" s="131"/>
      <c r="N18" s="131"/>
      <c r="O18" s="131"/>
      <c r="Q18" s="131"/>
      <c r="R18" s="131"/>
      <c r="S18" s="131"/>
      <c r="T18" s="131"/>
      <c r="U18" s="131"/>
      <c r="V18" s="131"/>
      <c r="W18" s="131"/>
    </row>
    <row r="19" spans="1:23" x14ac:dyDescent="0.25">
      <c r="A19" s="131"/>
      <c r="B19" s="131"/>
      <c r="C19" s="131"/>
      <c r="D19" s="131"/>
      <c r="E19" s="131"/>
      <c r="F19" s="131"/>
      <c r="G19" s="131"/>
      <c r="I19" s="131"/>
      <c r="J19" s="131"/>
      <c r="K19" s="131"/>
      <c r="L19" s="131"/>
      <c r="M19" s="131"/>
      <c r="N19" s="131"/>
      <c r="O19" s="131"/>
      <c r="Q19" s="131"/>
      <c r="R19" s="131"/>
      <c r="S19" s="131"/>
      <c r="T19" s="131"/>
      <c r="U19" s="131"/>
      <c r="V19" s="131"/>
      <c r="W19" s="131"/>
    </row>
    <row r="20" spans="1:23" x14ac:dyDescent="0.25">
      <c r="A20" s="131"/>
      <c r="B20" s="131"/>
      <c r="C20" s="131"/>
      <c r="D20" s="131"/>
      <c r="E20" s="131"/>
      <c r="F20" s="131"/>
      <c r="G20" s="131"/>
      <c r="I20" s="131"/>
      <c r="J20" s="131"/>
      <c r="K20" s="131"/>
      <c r="L20" s="131"/>
      <c r="M20" s="131"/>
      <c r="N20" s="131"/>
      <c r="O20" s="131"/>
      <c r="Q20" s="131"/>
      <c r="R20" s="131"/>
      <c r="S20" s="131"/>
      <c r="T20" s="131"/>
      <c r="U20" s="131"/>
      <c r="V20" s="131"/>
      <c r="W20" s="131"/>
    </row>
    <row r="21" spans="1:23" x14ac:dyDescent="0.25">
      <c r="A21" s="131"/>
      <c r="B21" s="131"/>
      <c r="C21" s="131"/>
      <c r="D21" s="131"/>
      <c r="E21" s="131"/>
      <c r="F21" s="131"/>
      <c r="G21" s="131"/>
      <c r="I21" s="131"/>
      <c r="J21" s="131"/>
      <c r="K21" s="131"/>
      <c r="L21" s="131"/>
      <c r="M21" s="131"/>
      <c r="N21" s="131"/>
      <c r="O21" s="131"/>
      <c r="Q21" s="131"/>
      <c r="R21" s="131"/>
      <c r="S21" s="131"/>
      <c r="T21" s="131"/>
      <c r="U21" s="131"/>
      <c r="V21" s="131"/>
      <c r="W21" s="131"/>
    </row>
    <row r="22" spans="1:23" x14ac:dyDescent="0.25">
      <c r="A22" s="131"/>
      <c r="B22" s="131"/>
      <c r="C22" s="131"/>
      <c r="D22" s="131"/>
      <c r="E22" s="131"/>
      <c r="F22" s="131"/>
      <c r="G22" s="131"/>
      <c r="I22" s="131"/>
      <c r="J22" s="131"/>
      <c r="K22" s="131"/>
      <c r="L22" s="131"/>
      <c r="M22" s="131"/>
      <c r="N22" s="131"/>
      <c r="O22" s="131"/>
      <c r="Q22" s="131"/>
      <c r="R22" s="131"/>
      <c r="S22" s="131"/>
      <c r="T22" s="131"/>
      <c r="U22" s="131"/>
      <c r="V22" s="131"/>
      <c r="W22" s="131"/>
    </row>
    <row r="23" spans="1:23" x14ac:dyDescent="0.25">
      <c r="A23" s="131"/>
      <c r="B23" s="131"/>
      <c r="C23" s="131"/>
      <c r="D23" s="131"/>
      <c r="E23" s="131"/>
      <c r="F23" s="131"/>
      <c r="G23" s="131"/>
      <c r="I23" s="131"/>
      <c r="J23" s="131"/>
      <c r="K23" s="131"/>
      <c r="L23" s="131"/>
      <c r="M23" s="131"/>
      <c r="N23" s="131"/>
      <c r="O23" s="131"/>
      <c r="Q23" s="131"/>
      <c r="R23" s="131"/>
      <c r="S23" s="131"/>
      <c r="T23" s="131"/>
      <c r="U23" s="131"/>
      <c r="V23" s="131"/>
      <c r="W23" s="131"/>
    </row>
    <row r="24" spans="1:23" x14ac:dyDescent="0.25">
      <c r="A24" s="131"/>
      <c r="B24" s="131"/>
      <c r="C24" s="131"/>
      <c r="D24" s="131"/>
      <c r="E24" s="131"/>
      <c r="F24" s="131"/>
      <c r="G24" s="131"/>
      <c r="I24" s="131"/>
      <c r="J24" s="131"/>
      <c r="K24" s="131"/>
      <c r="L24" s="131"/>
      <c r="M24" s="131"/>
      <c r="N24" s="131"/>
      <c r="O24" s="131"/>
      <c r="Q24" s="131"/>
      <c r="R24" s="131"/>
      <c r="S24" s="131"/>
      <c r="T24" s="131"/>
      <c r="U24" s="131"/>
      <c r="V24" s="131"/>
      <c r="W24" s="131"/>
    </row>
    <row r="25" spans="1:23" x14ac:dyDescent="0.25">
      <c r="A25" s="131"/>
      <c r="B25" s="131"/>
      <c r="C25" s="131"/>
      <c r="D25" s="131"/>
      <c r="E25" s="131"/>
      <c r="F25" s="131"/>
      <c r="G25" s="131"/>
      <c r="I25" s="131"/>
      <c r="J25" s="131"/>
      <c r="K25" s="131"/>
      <c r="L25" s="131"/>
      <c r="M25" s="131"/>
      <c r="N25" s="131"/>
      <c r="O25" s="131"/>
      <c r="Q25" s="131"/>
      <c r="R25" s="131"/>
      <c r="S25" s="131"/>
      <c r="T25" s="131"/>
      <c r="U25" s="131"/>
      <c r="V25" s="131"/>
      <c r="W25" s="131"/>
    </row>
    <row r="26" spans="1:23" x14ac:dyDescent="0.25">
      <c r="A26" s="131"/>
      <c r="B26" s="131"/>
      <c r="C26" s="131"/>
      <c r="D26" s="131"/>
      <c r="E26" s="131"/>
      <c r="F26" s="131"/>
      <c r="G26" s="131"/>
      <c r="I26" s="131"/>
      <c r="J26" s="131"/>
      <c r="K26" s="131"/>
      <c r="L26" s="131"/>
      <c r="M26" s="131"/>
      <c r="N26" s="131"/>
      <c r="O26" s="131"/>
      <c r="Q26" s="131"/>
      <c r="R26" s="131"/>
      <c r="S26" s="131"/>
      <c r="T26" s="131"/>
      <c r="U26" s="131"/>
      <c r="V26" s="131"/>
      <c r="W26" s="131"/>
    </row>
    <row r="27" spans="1:23" x14ac:dyDescent="0.25">
      <c r="A27" s="131"/>
      <c r="B27" s="131"/>
      <c r="C27" s="131"/>
      <c r="D27" s="131"/>
      <c r="E27" s="131"/>
      <c r="F27" s="131"/>
      <c r="G27" s="131"/>
      <c r="I27" s="131"/>
      <c r="J27" s="131"/>
      <c r="K27" s="131"/>
      <c r="L27" s="131"/>
      <c r="M27" s="131"/>
      <c r="N27" s="131"/>
      <c r="O27" s="131"/>
      <c r="Q27" s="131"/>
      <c r="R27" s="131"/>
      <c r="S27" s="131"/>
      <c r="T27" s="131"/>
      <c r="U27" s="131"/>
      <c r="V27" s="131"/>
      <c r="W27" s="13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N10" sqref="N10:S10"/>
    </sheetView>
  </sheetViews>
  <sheetFormatPr defaultRowHeight="13.8" x14ac:dyDescent="0.25"/>
  <sheetData>
    <row r="1" spans="1:23" ht="20.399999999999999" customHeight="1" thickTop="1" thickBot="1" x14ac:dyDescent="0.3">
      <c r="A1" s="148" t="s">
        <v>39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35" t="s">
        <v>339</v>
      </c>
      <c r="M1" s="136"/>
      <c r="N1" s="136"/>
      <c r="O1" s="136"/>
      <c r="P1" s="136"/>
      <c r="Q1" s="136"/>
      <c r="R1" s="137"/>
      <c r="S1" s="141" t="s">
        <v>155</v>
      </c>
      <c r="T1" s="142"/>
    </row>
    <row r="2" spans="1:23" ht="20.399999999999999" customHeight="1" thickTop="1" thickBot="1" x14ac:dyDescent="0.3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38"/>
      <c r="M2" s="139"/>
      <c r="N2" s="139"/>
      <c r="O2" s="139"/>
      <c r="P2" s="139"/>
      <c r="Q2" s="139"/>
      <c r="R2" s="140"/>
      <c r="S2" s="143"/>
      <c r="T2" s="144"/>
    </row>
    <row r="3" spans="1:23" ht="20.399999999999999" customHeight="1" thickTop="1" thickBot="1" x14ac:dyDescent="0.3">
      <c r="A3" s="149" t="s">
        <v>30</v>
      </c>
      <c r="B3" s="149"/>
      <c r="C3" s="25" t="s">
        <v>111</v>
      </c>
      <c r="D3" s="147">
        <v>1</v>
      </c>
      <c r="E3" s="147"/>
      <c r="F3" s="25" t="s">
        <v>36</v>
      </c>
      <c r="G3" s="147" t="s">
        <v>313</v>
      </c>
      <c r="H3" s="147"/>
      <c r="I3" s="25" t="s">
        <v>31</v>
      </c>
      <c r="J3" s="147" t="s">
        <v>314</v>
      </c>
      <c r="K3" s="147"/>
      <c r="N3" s="161" t="s">
        <v>166</v>
      </c>
      <c r="O3" s="162"/>
      <c r="P3" s="162"/>
      <c r="Q3" s="162"/>
      <c r="R3" s="162"/>
      <c r="S3" s="163"/>
    </row>
    <row r="4" spans="1:23" ht="20.399999999999999" customHeight="1" thickTop="1" thickBot="1" x14ac:dyDescent="0.3">
      <c r="A4" s="149"/>
      <c r="B4" s="149"/>
      <c r="C4" s="25" t="s">
        <v>25</v>
      </c>
      <c r="D4" s="147" t="s">
        <v>12</v>
      </c>
      <c r="E4" s="147"/>
      <c r="F4" s="25" t="s">
        <v>37</v>
      </c>
      <c r="G4" s="147">
        <v>25</v>
      </c>
      <c r="H4" s="147"/>
      <c r="I4" s="25" t="s">
        <v>163</v>
      </c>
      <c r="J4" s="147" t="s">
        <v>50</v>
      </c>
      <c r="K4" s="147"/>
      <c r="N4" s="25" t="s">
        <v>42</v>
      </c>
      <c r="O4" s="25" t="s">
        <v>43</v>
      </c>
      <c r="P4" s="25" t="s">
        <v>44</v>
      </c>
      <c r="Q4" s="25" t="s">
        <v>45</v>
      </c>
      <c r="R4" s="25" t="s">
        <v>46</v>
      </c>
      <c r="S4" s="25" t="s">
        <v>47</v>
      </c>
      <c r="W4" s="43"/>
    </row>
    <row r="5" spans="1:23" ht="20.399999999999999" customHeight="1" thickTop="1" thickBot="1" x14ac:dyDescent="0.3">
      <c r="A5" s="149"/>
      <c r="B5" s="149"/>
      <c r="C5" s="25" t="s">
        <v>24</v>
      </c>
      <c r="D5" s="147">
        <v>3</v>
      </c>
      <c r="E5" s="147"/>
      <c r="F5" s="25" t="s">
        <v>23</v>
      </c>
      <c r="G5" s="147">
        <v>8</v>
      </c>
      <c r="H5" s="147"/>
      <c r="I5" s="25" t="s">
        <v>164</v>
      </c>
      <c r="J5" s="147" cm="1">
        <f t="array" aca="1" ref="J5" ca="1">ROUNDDOWN((20/144)*POWER(((INDIRECT("总表"&amp;"!K3")-G4)/5-12),2)+10,0)</f>
        <v>16</v>
      </c>
      <c r="K5" s="147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49"/>
      <c r="B6" s="149"/>
      <c r="C6" s="146" t="s">
        <v>332</v>
      </c>
      <c r="D6" s="145" t="s">
        <v>333</v>
      </c>
      <c r="E6" s="145"/>
      <c r="F6" s="145"/>
      <c r="G6" s="145"/>
      <c r="H6" s="145"/>
      <c r="I6" s="145"/>
      <c r="J6" s="145"/>
      <c r="K6" s="145"/>
      <c r="L6" s="150" t="s">
        <v>331</v>
      </c>
      <c r="M6" s="153" t="s">
        <v>334</v>
      </c>
      <c r="N6" s="154"/>
      <c r="O6" s="154"/>
      <c r="P6" s="154"/>
      <c r="Q6" s="154"/>
      <c r="R6" s="154"/>
      <c r="S6" s="154"/>
      <c r="T6" s="155"/>
    </row>
    <row r="7" spans="1:23" ht="20.399999999999999" customHeight="1" thickTop="1" thickBot="1" x14ac:dyDescent="0.3">
      <c r="A7" s="149"/>
      <c r="B7" s="149"/>
      <c r="C7" s="146"/>
      <c r="D7" s="145"/>
      <c r="E7" s="145"/>
      <c r="F7" s="145"/>
      <c r="G7" s="145"/>
      <c r="H7" s="145"/>
      <c r="I7" s="145"/>
      <c r="J7" s="145"/>
      <c r="K7" s="145"/>
      <c r="L7" s="151"/>
      <c r="M7" s="156"/>
      <c r="N7" s="133"/>
      <c r="O7" s="133"/>
      <c r="P7" s="133"/>
      <c r="Q7" s="133"/>
      <c r="R7" s="133"/>
      <c r="S7" s="133"/>
      <c r="T7" s="157"/>
    </row>
    <row r="8" spans="1:23" ht="20.399999999999999" customHeight="1" thickTop="1" thickBot="1" x14ac:dyDescent="0.3">
      <c r="A8" s="149"/>
      <c r="B8" s="149"/>
      <c r="C8" s="164" t="s">
        <v>38</v>
      </c>
      <c r="D8" s="145" t="s">
        <v>56</v>
      </c>
      <c r="E8" s="145"/>
      <c r="F8" s="145"/>
      <c r="G8" s="145"/>
      <c r="H8" s="145"/>
      <c r="I8" s="145"/>
      <c r="J8" s="145"/>
      <c r="K8" s="145"/>
      <c r="L8" s="151"/>
      <c r="M8" s="156"/>
      <c r="N8" s="133"/>
      <c r="O8" s="133"/>
      <c r="P8" s="133"/>
      <c r="Q8" s="133"/>
      <c r="R8" s="133"/>
      <c r="S8" s="133"/>
      <c r="T8" s="157"/>
    </row>
    <row r="9" spans="1:23" ht="20.399999999999999" customHeight="1" thickTop="1" thickBot="1" x14ac:dyDescent="0.3">
      <c r="A9" s="149"/>
      <c r="B9" s="149"/>
      <c r="C9" s="164"/>
      <c r="D9" s="145"/>
      <c r="E9" s="145"/>
      <c r="F9" s="145"/>
      <c r="G9" s="145"/>
      <c r="H9" s="145"/>
      <c r="I9" s="145"/>
      <c r="J9" s="145"/>
      <c r="K9" s="145"/>
      <c r="L9" s="152"/>
      <c r="M9" s="158"/>
      <c r="N9" s="159"/>
      <c r="O9" s="159"/>
      <c r="P9" s="159"/>
      <c r="Q9" s="159"/>
      <c r="R9" s="159"/>
      <c r="S9" s="159"/>
      <c r="T9" s="160"/>
    </row>
    <row r="10" spans="1:23" ht="20.399999999999999" customHeight="1" thickTop="1" thickBot="1" x14ac:dyDescent="0.3">
      <c r="A10" s="149" t="s">
        <v>40</v>
      </c>
      <c r="B10" s="149"/>
      <c r="C10" s="25" t="s">
        <v>111</v>
      </c>
      <c r="D10" s="147">
        <v>1</v>
      </c>
      <c r="E10" s="147"/>
      <c r="F10" s="25" t="s">
        <v>36</v>
      </c>
      <c r="G10" s="147" t="s">
        <v>53</v>
      </c>
      <c r="H10" s="147"/>
      <c r="I10" s="25" t="s">
        <v>31</v>
      </c>
      <c r="J10" s="147" t="s">
        <v>165</v>
      </c>
      <c r="K10" s="147"/>
      <c r="N10" s="161" t="s">
        <v>166</v>
      </c>
      <c r="O10" s="162"/>
      <c r="P10" s="162"/>
      <c r="Q10" s="162"/>
      <c r="R10" s="162"/>
      <c r="S10" s="163"/>
    </row>
    <row r="11" spans="1:23" ht="20.399999999999999" customHeight="1" thickTop="1" thickBot="1" x14ac:dyDescent="0.3">
      <c r="A11" s="149"/>
      <c r="B11" s="149"/>
      <c r="C11" s="25" t="s">
        <v>25</v>
      </c>
      <c r="D11" s="147" t="s">
        <v>12</v>
      </c>
      <c r="E11" s="147"/>
      <c r="F11" s="25" t="s">
        <v>37</v>
      </c>
      <c r="G11" s="147">
        <v>35</v>
      </c>
      <c r="H11" s="147"/>
      <c r="I11" s="25" t="s">
        <v>163</v>
      </c>
      <c r="J11" s="147" t="s">
        <v>54</v>
      </c>
      <c r="K11" s="147"/>
      <c r="N11" s="25" t="s">
        <v>42</v>
      </c>
      <c r="O11" s="25" t="s">
        <v>43</v>
      </c>
      <c r="P11" s="25" t="s">
        <v>44</v>
      </c>
      <c r="Q11" s="25" t="s">
        <v>45</v>
      </c>
      <c r="R11" s="25" t="s">
        <v>46</v>
      </c>
      <c r="S11" s="25" t="s">
        <v>47</v>
      </c>
    </row>
    <row r="12" spans="1:23" ht="20.399999999999999" customHeight="1" thickTop="1" thickBot="1" x14ac:dyDescent="0.3">
      <c r="A12" s="149"/>
      <c r="B12" s="149"/>
      <c r="C12" s="25" t="s">
        <v>24</v>
      </c>
      <c r="D12" s="147" t="s">
        <v>55</v>
      </c>
      <c r="E12" s="147"/>
      <c r="F12" s="25" t="s">
        <v>23</v>
      </c>
      <c r="G12" s="147">
        <v>9</v>
      </c>
      <c r="H12" s="147"/>
      <c r="I12" s="25" t="s">
        <v>164</v>
      </c>
      <c r="J12" s="147" cm="1">
        <f t="array" aca="1" ref="J12" ca="1">ROUNDDOWN((20/144)*POWER(((INDIRECT("总表"&amp;"!K3")-G11)/5-12),2)+10,0)</f>
        <v>21</v>
      </c>
      <c r="K12" s="147"/>
      <c r="N12" s="23">
        <v>2</v>
      </c>
      <c r="O12" s="23"/>
      <c r="P12" s="23"/>
      <c r="Q12" s="23"/>
      <c r="R12" s="23"/>
      <c r="S12" s="23"/>
      <c r="W12" s="28"/>
    </row>
    <row r="13" spans="1:23" ht="20.399999999999999" customHeight="1" thickTop="1" thickBot="1" x14ac:dyDescent="0.3">
      <c r="A13" s="149"/>
      <c r="B13" s="149"/>
      <c r="C13" s="146" t="s">
        <v>332</v>
      </c>
      <c r="D13" s="145" t="s">
        <v>167</v>
      </c>
      <c r="E13" s="145"/>
      <c r="F13" s="145"/>
      <c r="G13" s="145"/>
      <c r="H13" s="145"/>
      <c r="I13" s="145"/>
      <c r="J13" s="145"/>
      <c r="K13" s="145"/>
      <c r="L13" s="150" t="s">
        <v>331</v>
      </c>
      <c r="M13" s="153" t="s">
        <v>334</v>
      </c>
      <c r="N13" s="154"/>
      <c r="O13" s="154"/>
      <c r="P13" s="154"/>
      <c r="Q13" s="154"/>
      <c r="R13" s="154"/>
      <c r="S13" s="154"/>
      <c r="T13" s="155"/>
    </row>
    <row r="14" spans="1:23" ht="20.399999999999999" customHeight="1" thickTop="1" thickBot="1" x14ac:dyDescent="0.3">
      <c r="A14" s="149"/>
      <c r="B14" s="149"/>
      <c r="C14" s="146"/>
      <c r="D14" s="145"/>
      <c r="E14" s="145"/>
      <c r="F14" s="145"/>
      <c r="G14" s="145"/>
      <c r="H14" s="145"/>
      <c r="I14" s="145"/>
      <c r="J14" s="145"/>
      <c r="K14" s="145"/>
      <c r="L14" s="151"/>
      <c r="M14" s="156"/>
      <c r="N14" s="133"/>
      <c r="O14" s="133"/>
      <c r="P14" s="133"/>
      <c r="Q14" s="133"/>
      <c r="R14" s="133"/>
      <c r="S14" s="133"/>
      <c r="T14" s="157"/>
    </row>
    <row r="15" spans="1:23" ht="20.399999999999999" customHeight="1" thickTop="1" thickBot="1" x14ac:dyDescent="0.3">
      <c r="A15" s="149"/>
      <c r="B15" s="149"/>
      <c r="C15" s="164" t="s">
        <v>38</v>
      </c>
      <c r="D15" s="145" t="s">
        <v>57</v>
      </c>
      <c r="E15" s="145"/>
      <c r="F15" s="145"/>
      <c r="G15" s="145"/>
      <c r="H15" s="145"/>
      <c r="I15" s="145"/>
      <c r="J15" s="145"/>
      <c r="K15" s="145"/>
      <c r="L15" s="151"/>
      <c r="M15" s="156"/>
      <c r="N15" s="133"/>
      <c r="O15" s="133"/>
      <c r="P15" s="133"/>
      <c r="Q15" s="133"/>
      <c r="R15" s="133"/>
      <c r="S15" s="133"/>
      <c r="T15" s="157"/>
    </row>
    <row r="16" spans="1:23" ht="20.399999999999999" customHeight="1" thickTop="1" thickBot="1" x14ac:dyDescent="0.3">
      <c r="A16" s="149"/>
      <c r="B16" s="149"/>
      <c r="C16" s="164"/>
      <c r="D16" s="145"/>
      <c r="E16" s="145"/>
      <c r="F16" s="145"/>
      <c r="G16" s="145"/>
      <c r="H16" s="145"/>
      <c r="I16" s="145"/>
      <c r="J16" s="145"/>
      <c r="K16" s="145"/>
      <c r="L16" s="152"/>
      <c r="M16" s="158"/>
      <c r="N16" s="159"/>
      <c r="O16" s="159"/>
      <c r="P16" s="159"/>
      <c r="Q16" s="159"/>
      <c r="R16" s="159"/>
      <c r="S16" s="159"/>
      <c r="T16" s="160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  <mergeCell ref="J4:K4"/>
    <mergeCell ref="J5:K5"/>
    <mergeCell ref="D6:K7"/>
    <mergeCell ref="C6:C7"/>
    <mergeCell ref="A3:B9"/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各种技能!$L$4:$L$34</xm:f>
          </x14:formula1>
          <xm:sqref>J10:K10 J3:K3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Q1" sqref="Q1:R2"/>
    </sheetView>
  </sheetViews>
  <sheetFormatPr defaultRowHeight="13.8" x14ac:dyDescent="0.25"/>
  <sheetData>
    <row r="1" spans="1:24" ht="20.399999999999999" customHeight="1" thickTop="1" x14ac:dyDescent="0.25">
      <c r="A1" s="165" t="s">
        <v>48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7"/>
      <c r="O1" s="176" t="s">
        <v>168</v>
      </c>
      <c r="P1" s="177"/>
      <c r="Q1" s="180">
        <f>FLOOR(AVERAGE(H4,H8,H12,H16),1)</f>
        <v>20</v>
      </c>
      <c r="R1" s="180"/>
      <c r="S1" s="176" t="s">
        <v>169</v>
      </c>
      <c r="T1" s="177"/>
      <c r="U1" s="180" cm="1">
        <f t="array" aca="1" ref="U1" ca="1">ROUNDDOWN((15/144)*POWER(((INDIRECT("总表"&amp;"!K3")-Q1)/5-12),2)+5,0)</f>
        <v>8</v>
      </c>
      <c r="V1" s="180"/>
      <c r="W1" s="180"/>
    </row>
    <row r="2" spans="1:24" ht="20.399999999999999" customHeight="1" thickBot="1" x14ac:dyDescent="0.3">
      <c r="A2" s="168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  <c r="O2" s="178"/>
      <c r="P2" s="179"/>
      <c r="Q2" s="181"/>
      <c r="R2" s="181"/>
      <c r="S2" s="178"/>
      <c r="T2" s="179"/>
      <c r="U2" s="181"/>
      <c r="V2" s="181"/>
      <c r="W2" s="181"/>
    </row>
    <row r="3" spans="1:24" ht="20.399999999999999" customHeight="1" thickTop="1" thickBot="1" x14ac:dyDescent="0.3">
      <c r="A3" s="171" t="s">
        <v>26</v>
      </c>
      <c r="B3" s="164" t="s">
        <v>36</v>
      </c>
      <c r="C3" s="164"/>
      <c r="D3" s="25" t="s">
        <v>111</v>
      </c>
      <c r="E3" s="25" t="s">
        <v>41</v>
      </c>
      <c r="F3" s="25" t="s">
        <v>129</v>
      </c>
      <c r="G3" s="25" t="s">
        <v>130</v>
      </c>
      <c r="H3" s="25" t="s">
        <v>37</v>
      </c>
      <c r="I3" s="25" t="s">
        <v>42</v>
      </c>
      <c r="J3" s="25" t="s">
        <v>43</v>
      </c>
      <c r="K3" s="25" t="s">
        <v>44</v>
      </c>
      <c r="L3" s="25" t="s">
        <v>45</v>
      </c>
      <c r="M3" s="25" t="s">
        <v>46</v>
      </c>
      <c r="N3" s="25" t="s">
        <v>47</v>
      </c>
      <c r="O3" s="150" t="s">
        <v>331</v>
      </c>
      <c r="P3" s="153" t="s">
        <v>336</v>
      </c>
      <c r="Q3" s="154"/>
      <c r="R3" s="154"/>
      <c r="S3" s="154"/>
      <c r="T3" s="154"/>
      <c r="U3" s="154"/>
      <c r="V3" s="154"/>
      <c r="W3" s="155"/>
    </row>
    <row r="4" spans="1:24" ht="20.399999999999999" customHeight="1" thickTop="1" thickBot="1" x14ac:dyDescent="0.3">
      <c r="A4" s="171"/>
      <c r="B4" s="164"/>
      <c r="C4" s="164"/>
      <c r="D4" s="23">
        <v>1</v>
      </c>
      <c r="E4" s="23">
        <v>1</v>
      </c>
      <c r="F4" s="31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51"/>
      <c r="P4" s="156"/>
      <c r="Q4" s="133"/>
      <c r="R4" s="133"/>
      <c r="S4" s="133"/>
      <c r="T4" s="133"/>
      <c r="U4" s="133"/>
      <c r="V4" s="133"/>
      <c r="W4" s="157"/>
    </row>
    <row r="5" spans="1:24" ht="20.399999999999999" customHeight="1" thickTop="1" thickBot="1" x14ac:dyDescent="0.3">
      <c r="A5" s="171"/>
      <c r="B5" s="172" t="s">
        <v>58</v>
      </c>
      <c r="C5" s="172"/>
      <c r="D5" s="161" t="s">
        <v>332</v>
      </c>
      <c r="E5" s="162"/>
      <c r="F5" s="162"/>
      <c r="G5" s="162"/>
      <c r="H5" s="162"/>
      <c r="I5" s="162"/>
      <c r="J5" s="162"/>
      <c r="K5" s="162"/>
      <c r="L5" s="162"/>
      <c r="M5" s="162"/>
      <c r="N5" s="163"/>
      <c r="O5" s="151"/>
      <c r="P5" s="156"/>
      <c r="Q5" s="133"/>
      <c r="R5" s="133"/>
      <c r="S5" s="133"/>
      <c r="T5" s="133"/>
      <c r="U5" s="133"/>
      <c r="V5" s="133"/>
      <c r="W5" s="157"/>
    </row>
    <row r="6" spans="1:24" ht="20.399999999999999" customHeight="1" thickTop="1" thickBot="1" x14ac:dyDescent="0.3">
      <c r="A6" s="171"/>
      <c r="B6" s="172"/>
      <c r="C6" s="172"/>
      <c r="D6" s="173" t="s">
        <v>52</v>
      </c>
      <c r="E6" s="174"/>
      <c r="F6" s="174"/>
      <c r="G6" s="174"/>
      <c r="H6" s="174"/>
      <c r="I6" s="174"/>
      <c r="J6" s="174"/>
      <c r="K6" s="174"/>
      <c r="L6" s="174"/>
      <c r="M6" s="174"/>
      <c r="N6" s="175"/>
      <c r="O6" s="152"/>
      <c r="P6" s="158"/>
      <c r="Q6" s="159"/>
      <c r="R6" s="159"/>
      <c r="S6" s="159"/>
      <c r="T6" s="159"/>
      <c r="U6" s="159"/>
      <c r="V6" s="159"/>
      <c r="W6" s="160"/>
    </row>
    <row r="7" spans="1:24" ht="20.399999999999999" customHeight="1" thickTop="1" thickBot="1" x14ac:dyDescent="0.3">
      <c r="A7" s="171" t="s">
        <v>27</v>
      </c>
      <c r="B7" s="164" t="s">
        <v>36</v>
      </c>
      <c r="C7" s="164"/>
      <c r="D7" s="25" t="s">
        <v>111</v>
      </c>
      <c r="E7" s="25" t="s">
        <v>41</v>
      </c>
      <c r="F7" s="25" t="s">
        <v>129</v>
      </c>
      <c r="G7" s="25" t="s">
        <v>130</v>
      </c>
      <c r="H7" s="25" t="s">
        <v>37</v>
      </c>
      <c r="I7" s="25" t="s">
        <v>42</v>
      </c>
      <c r="J7" s="25" t="s">
        <v>43</v>
      </c>
      <c r="K7" s="25" t="s">
        <v>44</v>
      </c>
      <c r="L7" s="25" t="s">
        <v>45</v>
      </c>
      <c r="M7" s="25" t="s">
        <v>46</v>
      </c>
      <c r="N7" s="25" t="s">
        <v>47</v>
      </c>
      <c r="O7" s="150" t="s">
        <v>331</v>
      </c>
      <c r="P7" s="153" t="s">
        <v>335</v>
      </c>
      <c r="Q7" s="154"/>
      <c r="R7" s="154"/>
      <c r="S7" s="154"/>
      <c r="T7" s="154"/>
      <c r="U7" s="154"/>
      <c r="V7" s="154"/>
      <c r="W7" s="155"/>
    </row>
    <row r="8" spans="1:24" ht="20.399999999999999" customHeight="1" thickTop="1" thickBot="1" x14ac:dyDescent="0.3">
      <c r="A8" s="171"/>
      <c r="B8" s="164"/>
      <c r="C8" s="164"/>
      <c r="D8" s="23">
        <v>1</v>
      </c>
      <c r="E8" s="23">
        <v>2</v>
      </c>
      <c r="F8" s="31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51"/>
      <c r="P8" s="156"/>
      <c r="Q8" s="133"/>
      <c r="R8" s="133"/>
      <c r="S8" s="133"/>
      <c r="T8" s="133"/>
      <c r="U8" s="133"/>
      <c r="V8" s="133"/>
      <c r="W8" s="157"/>
    </row>
    <row r="9" spans="1:24" ht="20.399999999999999" customHeight="1" thickTop="1" thickBot="1" x14ac:dyDescent="0.3">
      <c r="A9" s="171"/>
      <c r="B9" s="172" t="s">
        <v>59</v>
      </c>
      <c r="C9" s="172"/>
      <c r="D9" s="161" t="s">
        <v>332</v>
      </c>
      <c r="E9" s="162"/>
      <c r="F9" s="162"/>
      <c r="G9" s="162"/>
      <c r="H9" s="162"/>
      <c r="I9" s="162"/>
      <c r="J9" s="162"/>
      <c r="K9" s="162"/>
      <c r="L9" s="162"/>
      <c r="M9" s="162"/>
      <c r="N9" s="163"/>
      <c r="O9" s="151"/>
      <c r="P9" s="156"/>
      <c r="Q9" s="133"/>
      <c r="R9" s="133"/>
      <c r="S9" s="133"/>
      <c r="T9" s="133"/>
      <c r="U9" s="133"/>
      <c r="V9" s="133"/>
      <c r="W9" s="157"/>
    </row>
    <row r="10" spans="1:24" ht="20.399999999999999" customHeight="1" thickTop="1" thickBot="1" x14ac:dyDescent="0.3">
      <c r="A10" s="171"/>
      <c r="B10" s="172"/>
      <c r="C10" s="172"/>
      <c r="D10" s="173" t="s">
        <v>52</v>
      </c>
      <c r="E10" s="174"/>
      <c r="F10" s="174"/>
      <c r="G10" s="174"/>
      <c r="H10" s="174"/>
      <c r="I10" s="174"/>
      <c r="J10" s="174"/>
      <c r="K10" s="174"/>
      <c r="L10" s="174"/>
      <c r="M10" s="174"/>
      <c r="N10" s="175"/>
      <c r="O10" s="152"/>
      <c r="P10" s="158"/>
      <c r="Q10" s="159"/>
      <c r="R10" s="159"/>
      <c r="S10" s="159"/>
      <c r="T10" s="159"/>
      <c r="U10" s="159"/>
      <c r="V10" s="159"/>
      <c r="W10" s="160"/>
    </row>
    <row r="11" spans="1:24" ht="20.399999999999999" customHeight="1" thickTop="1" thickBot="1" x14ac:dyDescent="0.3">
      <c r="A11" s="171" t="s">
        <v>28</v>
      </c>
      <c r="B11" s="164" t="s">
        <v>36</v>
      </c>
      <c r="C11" s="164"/>
      <c r="D11" s="25" t="s">
        <v>111</v>
      </c>
      <c r="E11" s="25" t="s">
        <v>41</v>
      </c>
      <c r="F11" s="25" t="s">
        <v>129</v>
      </c>
      <c r="G11" s="25" t="s">
        <v>130</v>
      </c>
      <c r="H11" s="25" t="s">
        <v>37</v>
      </c>
      <c r="I11" s="25" t="s">
        <v>42</v>
      </c>
      <c r="J11" s="25" t="s">
        <v>43</v>
      </c>
      <c r="K11" s="25" t="s">
        <v>44</v>
      </c>
      <c r="L11" s="25" t="s">
        <v>45</v>
      </c>
      <c r="M11" s="25" t="s">
        <v>46</v>
      </c>
      <c r="N11" s="25" t="s">
        <v>47</v>
      </c>
      <c r="O11" s="150" t="s">
        <v>331</v>
      </c>
      <c r="P11" s="153" t="s">
        <v>336</v>
      </c>
      <c r="Q11" s="154"/>
      <c r="R11" s="154"/>
      <c r="S11" s="154"/>
      <c r="T11" s="154"/>
      <c r="U11" s="154"/>
      <c r="V11" s="154"/>
      <c r="W11" s="155"/>
      <c r="X11" s="30"/>
    </row>
    <row r="12" spans="1:24" ht="20.399999999999999" customHeight="1" thickTop="1" thickBot="1" x14ac:dyDescent="0.3">
      <c r="A12" s="171"/>
      <c r="B12" s="164"/>
      <c r="C12" s="164"/>
      <c r="D12" s="23">
        <v>1</v>
      </c>
      <c r="E12" s="23">
        <v>3</v>
      </c>
      <c r="F12" s="31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51"/>
      <c r="P12" s="156"/>
      <c r="Q12" s="133"/>
      <c r="R12" s="133"/>
      <c r="S12" s="133"/>
      <c r="T12" s="133"/>
      <c r="U12" s="133"/>
      <c r="V12" s="133"/>
      <c r="W12" s="157"/>
      <c r="X12" s="28"/>
    </row>
    <row r="13" spans="1:24" ht="20.399999999999999" customHeight="1" thickTop="1" thickBot="1" x14ac:dyDescent="0.3">
      <c r="A13" s="171"/>
      <c r="B13" s="172" t="s">
        <v>60</v>
      </c>
      <c r="C13" s="172"/>
      <c r="D13" s="161" t="s">
        <v>332</v>
      </c>
      <c r="E13" s="162"/>
      <c r="F13" s="162"/>
      <c r="G13" s="162"/>
      <c r="H13" s="162"/>
      <c r="I13" s="162"/>
      <c r="J13" s="162"/>
      <c r="K13" s="162"/>
      <c r="L13" s="162"/>
      <c r="M13" s="162"/>
      <c r="N13" s="163"/>
      <c r="O13" s="151"/>
      <c r="P13" s="156"/>
      <c r="Q13" s="133"/>
      <c r="R13" s="133"/>
      <c r="S13" s="133"/>
      <c r="T13" s="133"/>
      <c r="U13" s="133"/>
      <c r="V13" s="133"/>
      <c r="W13" s="157"/>
    </row>
    <row r="14" spans="1:24" ht="20.399999999999999" customHeight="1" thickTop="1" thickBot="1" x14ac:dyDescent="0.3">
      <c r="A14" s="171"/>
      <c r="B14" s="172"/>
      <c r="C14" s="172"/>
      <c r="D14" s="173" t="s">
        <v>52</v>
      </c>
      <c r="E14" s="174"/>
      <c r="F14" s="174"/>
      <c r="G14" s="174"/>
      <c r="H14" s="174"/>
      <c r="I14" s="174"/>
      <c r="J14" s="174"/>
      <c r="K14" s="174"/>
      <c r="L14" s="174"/>
      <c r="M14" s="174"/>
      <c r="N14" s="175"/>
      <c r="O14" s="152"/>
      <c r="P14" s="158"/>
      <c r="Q14" s="159"/>
      <c r="R14" s="159"/>
      <c r="S14" s="159"/>
      <c r="T14" s="159"/>
      <c r="U14" s="159"/>
      <c r="V14" s="159"/>
      <c r="W14" s="160"/>
    </row>
    <row r="15" spans="1:24" ht="20.399999999999999" customHeight="1" thickTop="1" thickBot="1" x14ac:dyDescent="0.3">
      <c r="A15" s="171" t="s">
        <v>29</v>
      </c>
      <c r="B15" s="164" t="s">
        <v>36</v>
      </c>
      <c r="C15" s="164"/>
      <c r="D15" s="25" t="s">
        <v>111</v>
      </c>
      <c r="E15" s="25" t="s">
        <v>41</v>
      </c>
      <c r="F15" s="25" t="s">
        <v>129</v>
      </c>
      <c r="G15" s="25" t="s">
        <v>130</v>
      </c>
      <c r="H15" s="25" t="s">
        <v>37</v>
      </c>
      <c r="I15" s="25" t="s">
        <v>42</v>
      </c>
      <c r="J15" s="25" t="s">
        <v>43</v>
      </c>
      <c r="K15" s="25" t="s">
        <v>44</v>
      </c>
      <c r="L15" s="25" t="s">
        <v>45</v>
      </c>
      <c r="M15" s="25" t="s">
        <v>46</v>
      </c>
      <c r="N15" s="25" t="s">
        <v>47</v>
      </c>
      <c r="O15" s="150" t="s">
        <v>331</v>
      </c>
      <c r="P15" s="153" t="s">
        <v>336</v>
      </c>
      <c r="Q15" s="154"/>
      <c r="R15" s="154"/>
      <c r="S15" s="154"/>
      <c r="T15" s="154"/>
      <c r="U15" s="154"/>
      <c r="V15" s="154"/>
      <c r="W15" s="155"/>
    </row>
    <row r="16" spans="1:24" ht="20.399999999999999" customHeight="1" thickTop="1" thickBot="1" x14ac:dyDescent="0.3">
      <c r="A16" s="171"/>
      <c r="B16" s="164"/>
      <c r="C16" s="164"/>
      <c r="D16" s="23">
        <v>1</v>
      </c>
      <c r="E16" s="23">
        <v>2</v>
      </c>
      <c r="F16" s="31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51"/>
      <c r="P16" s="156"/>
      <c r="Q16" s="133"/>
      <c r="R16" s="133"/>
      <c r="S16" s="133"/>
      <c r="T16" s="133"/>
      <c r="U16" s="133"/>
      <c r="V16" s="133"/>
      <c r="W16" s="157"/>
    </row>
    <row r="17" spans="1:23" ht="20.399999999999999" customHeight="1" thickTop="1" thickBot="1" x14ac:dyDescent="0.3">
      <c r="A17" s="171"/>
      <c r="B17" s="172" t="s">
        <v>61</v>
      </c>
      <c r="C17" s="172"/>
      <c r="D17" s="161" t="s">
        <v>332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3"/>
      <c r="O17" s="151"/>
      <c r="P17" s="156"/>
      <c r="Q17" s="133"/>
      <c r="R17" s="133"/>
      <c r="S17" s="133"/>
      <c r="T17" s="133"/>
      <c r="U17" s="133"/>
      <c r="V17" s="133"/>
      <c r="W17" s="157"/>
    </row>
    <row r="18" spans="1:23" ht="20.399999999999999" customHeight="1" thickTop="1" thickBot="1" x14ac:dyDescent="0.3">
      <c r="A18" s="171"/>
      <c r="B18" s="172"/>
      <c r="C18" s="172"/>
      <c r="D18" s="173" t="s">
        <v>52</v>
      </c>
      <c r="E18" s="174"/>
      <c r="F18" s="174"/>
      <c r="G18" s="174"/>
      <c r="H18" s="174"/>
      <c r="I18" s="174"/>
      <c r="J18" s="174"/>
      <c r="K18" s="174"/>
      <c r="L18" s="174"/>
      <c r="M18" s="174"/>
      <c r="N18" s="175"/>
      <c r="O18" s="152"/>
      <c r="P18" s="158"/>
      <c r="Q18" s="159"/>
      <c r="R18" s="159"/>
      <c r="S18" s="159"/>
      <c r="T18" s="159"/>
      <c r="U18" s="159"/>
      <c r="V18" s="159"/>
      <c r="W18" s="160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1:P2"/>
    <mergeCell ref="Q1:R2"/>
    <mergeCell ref="S1:T2"/>
    <mergeCell ref="U1:W2"/>
    <mergeCell ref="O3:O6"/>
    <mergeCell ref="P3:W6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5"/>
  <sheetViews>
    <sheetView workbookViewId="0">
      <selection activeCell="G5" sqref="G5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87" t="s">
        <v>74</v>
      </c>
      <c r="B1" s="187"/>
      <c r="C1" s="187"/>
      <c r="D1" s="187"/>
      <c r="E1" s="187"/>
      <c r="F1" s="187"/>
      <c r="G1" s="187"/>
      <c r="H1" s="187"/>
      <c r="I1" s="187"/>
      <c r="J1" s="187"/>
      <c r="K1" s="40"/>
      <c r="L1" s="187" t="s">
        <v>32</v>
      </c>
      <c r="M1" s="187"/>
      <c r="N1" s="187"/>
      <c r="O1" s="187"/>
      <c r="P1" s="187"/>
      <c r="Q1" s="187"/>
      <c r="R1" s="187"/>
      <c r="S1" s="187"/>
      <c r="T1" s="187"/>
      <c r="U1" s="187"/>
      <c r="V1" s="40"/>
      <c r="W1" s="187" t="s">
        <v>124</v>
      </c>
      <c r="X1" s="187"/>
      <c r="Y1" s="187"/>
      <c r="Z1" s="187"/>
      <c r="AA1" s="187"/>
      <c r="AB1" s="187"/>
      <c r="AC1" s="187"/>
      <c r="AD1" s="187"/>
      <c r="AE1" s="187"/>
      <c r="AF1" s="187"/>
    </row>
    <row r="2" spans="1:32" ht="15" customHeight="1" thickTop="1" thickBot="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40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40"/>
      <c r="W2" s="187"/>
      <c r="X2" s="187"/>
      <c r="Y2" s="187"/>
      <c r="Z2" s="187"/>
      <c r="AA2" s="187"/>
      <c r="AB2" s="187"/>
      <c r="AC2" s="187"/>
      <c r="AD2" s="187"/>
      <c r="AE2" s="187"/>
      <c r="AF2" s="187"/>
    </row>
    <row r="3" spans="1:32" ht="15" thickTop="1" thickBot="1" x14ac:dyDescent="0.3">
      <c r="A3" s="53" t="s">
        <v>36</v>
      </c>
      <c r="B3" s="53" t="s">
        <v>25</v>
      </c>
      <c r="C3" s="53" t="s">
        <v>70</v>
      </c>
      <c r="D3" s="53" t="s">
        <v>71</v>
      </c>
      <c r="E3" s="53" t="s">
        <v>249</v>
      </c>
      <c r="F3" s="53" t="s">
        <v>250</v>
      </c>
      <c r="G3" s="53" t="s">
        <v>72</v>
      </c>
      <c r="H3" s="186" t="s">
        <v>73</v>
      </c>
      <c r="I3" s="186"/>
      <c r="J3" s="186"/>
      <c r="K3" s="40"/>
      <c r="L3" s="53" t="s">
        <v>36</v>
      </c>
      <c r="M3" s="53" t="s">
        <v>25</v>
      </c>
      <c r="N3" s="53" t="s">
        <v>70</v>
      </c>
      <c r="O3" s="53" t="s">
        <v>71</v>
      </c>
      <c r="P3" s="53" t="s">
        <v>249</v>
      </c>
      <c r="Q3" s="53" t="s">
        <v>250</v>
      </c>
      <c r="R3" s="53" t="s">
        <v>72</v>
      </c>
      <c r="S3" s="186" t="s">
        <v>73</v>
      </c>
      <c r="T3" s="186"/>
      <c r="U3" s="186"/>
      <c r="V3" s="40"/>
      <c r="W3" s="53" t="s">
        <v>36</v>
      </c>
      <c r="X3" s="53" t="s">
        <v>25</v>
      </c>
      <c r="Y3" s="53" t="s">
        <v>70</v>
      </c>
      <c r="Z3" s="53" t="s">
        <v>71</v>
      </c>
      <c r="AA3" s="53" t="s">
        <v>249</v>
      </c>
      <c r="AB3" s="53" t="s">
        <v>250</v>
      </c>
      <c r="AC3" s="53" t="s">
        <v>72</v>
      </c>
      <c r="AD3" s="186" t="s">
        <v>73</v>
      </c>
      <c r="AE3" s="186"/>
      <c r="AF3" s="186"/>
    </row>
    <row r="4" spans="1:32" ht="15" thickTop="1" thickBot="1" x14ac:dyDescent="0.3">
      <c r="A4" s="183" t="s">
        <v>12</v>
      </c>
      <c r="B4" s="174"/>
      <c r="C4" s="174"/>
      <c r="D4" s="174"/>
      <c r="E4" s="174"/>
      <c r="F4" s="174"/>
      <c r="G4" s="174"/>
      <c r="H4" s="174"/>
      <c r="I4" s="174"/>
      <c r="J4" s="175"/>
      <c r="L4" s="183" t="s">
        <v>306</v>
      </c>
      <c r="M4" s="174"/>
      <c r="N4" s="174"/>
      <c r="O4" s="174"/>
      <c r="P4" s="174"/>
      <c r="Q4" s="174"/>
      <c r="R4" s="174"/>
      <c r="S4" s="174"/>
      <c r="T4" s="174"/>
      <c r="U4" s="175"/>
      <c r="W4" s="51" t="s">
        <v>318</v>
      </c>
      <c r="X4" s="51" t="s">
        <v>121</v>
      </c>
      <c r="Y4" s="51">
        <f ca="1">LOOKUP(INDIRECT("rc[-1]",),INDIRECT("总表"&amp;"!A29:A34"),INDIRECT("总表"&amp;"!B29:B34"))</f>
        <v>30</v>
      </c>
      <c r="Z4" s="51">
        <v>30</v>
      </c>
      <c r="AA4" s="51"/>
      <c r="AB4" s="51"/>
      <c r="AC4" s="52">
        <f ca="1">IF(SUM(Y4:AA4)&lt;=50,SUM(Y4:AA4),IF(SUM(Y4:AA4)&lt;=80,(SUM(Y4:AA4)-50)*0.7+50,(SUM(Y4:AA4)-80)*0.4+71))+AB4</f>
        <v>57</v>
      </c>
      <c r="AD4" s="51">
        <v>0</v>
      </c>
      <c r="AE4" s="51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75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2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101</v>
      </c>
      <c r="M5" s="23" t="s">
        <v>51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2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1" t="s">
        <v>319</v>
      </c>
      <c r="X5" s="51" t="s">
        <v>121</v>
      </c>
      <c r="Y5" s="51">
        <f t="shared" ref="Y5:Y28" ca="1" si="3">LOOKUP(INDIRECT("rc[-1]",),INDIRECT("总表"&amp;"!A29:A34"),INDIRECT("总表"&amp;"!B29:B34"))</f>
        <v>30</v>
      </c>
      <c r="Z5" s="51">
        <v>30</v>
      </c>
      <c r="AA5" s="51"/>
      <c r="AB5" s="51"/>
      <c r="AC5" s="52">
        <f t="shared" ref="AC5:AC28" ca="1" si="4">IF(SUM(Y5:AA5)&lt;=50,SUM(Y5:AA5),IF(SUM(Y5:AA5)&lt;=80,(SUM(Y5:AA5)-50)*0.7+50,(SUM(Y5:AA5)-80)*0.4+71))+AB5</f>
        <v>57</v>
      </c>
      <c r="AD5" s="51">
        <v>0</v>
      </c>
      <c r="AE5" s="51" t="s">
        <v>18</v>
      </c>
      <c r="AF5" s="23">
        <f t="shared" si="0"/>
        <v>18</v>
      </c>
    </row>
    <row r="6" spans="1:32" ht="15" thickTop="1" thickBot="1" x14ac:dyDescent="0.3">
      <c r="A6" s="23" t="s">
        <v>76</v>
      </c>
      <c r="B6" s="23" t="s">
        <v>51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2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102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2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1"/>
      <c r="X6" s="51" t="s">
        <v>121</v>
      </c>
      <c r="Y6" s="51">
        <f t="shared" ca="1" si="3"/>
        <v>30</v>
      </c>
      <c r="Z6" s="51">
        <v>1</v>
      </c>
      <c r="AA6" s="51"/>
      <c r="AB6" s="51"/>
      <c r="AC6" s="52">
        <f t="shared" ca="1" si="4"/>
        <v>31</v>
      </c>
      <c r="AD6" s="51">
        <v>0</v>
      </c>
      <c r="AE6" s="51" t="s">
        <v>18</v>
      </c>
      <c r="AF6" s="23" t="str">
        <f t="shared" si="0"/>
        <v>6</v>
      </c>
    </row>
    <row r="7" spans="1:32" ht="15" thickTop="1" thickBot="1" x14ac:dyDescent="0.3">
      <c r="A7" s="23" t="s">
        <v>119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2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302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2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1"/>
      <c r="X7" s="51" t="s">
        <v>121</v>
      </c>
      <c r="Y7" s="51">
        <f t="shared" ca="1" si="3"/>
        <v>30</v>
      </c>
      <c r="Z7" s="51">
        <v>1</v>
      </c>
      <c r="AA7" s="51"/>
      <c r="AB7" s="51"/>
      <c r="AC7" s="52">
        <f t="shared" ca="1" si="4"/>
        <v>31</v>
      </c>
      <c r="AD7" s="51">
        <v>0</v>
      </c>
      <c r="AE7" s="51" t="s">
        <v>18</v>
      </c>
      <c r="AF7" s="23" t="str">
        <f t="shared" si="0"/>
        <v>6</v>
      </c>
    </row>
    <row r="8" spans="1:32" ht="15" thickTop="1" thickBot="1" x14ac:dyDescent="0.3">
      <c r="A8" s="183" t="s">
        <v>13</v>
      </c>
      <c r="B8" s="184"/>
      <c r="C8" s="184"/>
      <c r="D8" s="184"/>
      <c r="E8" s="184"/>
      <c r="F8" s="184"/>
      <c r="G8" s="184"/>
      <c r="H8" s="184"/>
      <c r="I8" s="184"/>
      <c r="J8" s="185"/>
      <c r="L8" s="51" t="s">
        <v>159</v>
      </c>
      <c r="M8" s="23" t="s">
        <v>62</v>
      </c>
      <c r="N8" s="23">
        <f t="shared" ca="1" si="7"/>
        <v>50</v>
      </c>
      <c r="O8" s="23">
        <v>1</v>
      </c>
      <c r="P8" s="23"/>
      <c r="Q8" s="23"/>
      <c r="R8" s="52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1"/>
      <c r="X8" s="51" t="s">
        <v>121</v>
      </c>
      <c r="Y8" s="51">
        <f t="shared" ca="1" si="3"/>
        <v>30</v>
      </c>
      <c r="Z8" s="51">
        <v>1</v>
      </c>
      <c r="AA8" s="51"/>
      <c r="AB8" s="51"/>
      <c r="AC8" s="52">
        <f t="shared" ca="1" si="4"/>
        <v>31</v>
      </c>
      <c r="AD8" s="51">
        <v>0</v>
      </c>
      <c r="AE8" s="51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80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2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158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2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1"/>
      <c r="X9" s="51" t="s">
        <v>121</v>
      </c>
      <c r="Y9" s="51">
        <f t="shared" ca="1" si="3"/>
        <v>30</v>
      </c>
      <c r="Z9" s="51">
        <v>1</v>
      </c>
      <c r="AA9" s="51"/>
      <c r="AB9" s="51"/>
      <c r="AC9" s="52">
        <f t="shared" ca="1" si="4"/>
        <v>31</v>
      </c>
      <c r="AD9" s="51">
        <v>0</v>
      </c>
      <c r="AE9" s="51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81</v>
      </c>
      <c r="B10" s="23" t="s">
        <v>62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2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83" t="s">
        <v>307</v>
      </c>
      <c r="M10" s="184"/>
      <c r="N10" s="184"/>
      <c r="O10" s="184"/>
      <c r="P10" s="184"/>
      <c r="Q10" s="184"/>
      <c r="R10" s="184"/>
      <c r="S10" s="184"/>
      <c r="T10" s="184"/>
      <c r="U10" s="185"/>
      <c r="W10" s="51"/>
      <c r="X10" s="51" t="s">
        <v>121</v>
      </c>
      <c r="Y10" s="51">
        <f t="shared" ca="1" si="3"/>
        <v>30</v>
      </c>
      <c r="Z10" s="51">
        <v>1</v>
      </c>
      <c r="AA10" s="51"/>
      <c r="AB10" s="51"/>
      <c r="AC10" s="52">
        <f t="shared" ca="1" si="4"/>
        <v>31</v>
      </c>
      <c r="AD10" s="51">
        <v>0</v>
      </c>
      <c r="AE10" s="51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82</v>
      </c>
      <c r="B11" s="23" t="s">
        <v>62</v>
      </c>
      <c r="C11" s="23">
        <f t="shared" ca="1" si="9"/>
        <v>50</v>
      </c>
      <c r="D11" s="23">
        <v>1</v>
      </c>
      <c r="E11" s="23"/>
      <c r="F11" s="23"/>
      <c r="G11" s="52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99</v>
      </c>
      <c r="M11" s="23" t="s">
        <v>51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2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1"/>
      <c r="X11" s="51" t="s">
        <v>121</v>
      </c>
      <c r="Y11" s="51">
        <f t="shared" ca="1" si="3"/>
        <v>30</v>
      </c>
      <c r="Z11" s="51">
        <v>1</v>
      </c>
      <c r="AA11" s="51"/>
      <c r="AB11" s="51"/>
      <c r="AC11" s="52">
        <f t="shared" ca="1" si="4"/>
        <v>31</v>
      </c>
      <c r="AD11" s="51">
        <v>0</v>
      </c>
      <c r="AE11" s="51" t="s">
        <v>18</v>
      </c>
      <c r="AF11" s="23" t="str">
        <f t="shared" si="0"/>
        <v>6</v>
      </c>
    </row>
    <row r="12" spans="1:32" ht="15" thickTop="1" thickBot="1" x14ac:dyDescent="0.3">
      <c r="A12" s="23" t="s">
        <v>83</v>
      </c>
      <c r="B12" s="23" t="s">
        <v>62</v>
      </c>
      <c r="C12" s="23">
        <f t="shared" ca="1" si="9"/>
        <v>50</v>
      </c>
      <c r="D12" s="23">
        <v>1</v>
      </c>
      <c r="E12" s="23"/>
      <c r="F12" s="23"/>
      <c r="G12" s="52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132</v>
      </c>
      <c r="M12" s="23" t="s">
        <v>62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2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1"/>
      <c r="X12" s="51" t="s">
        <v>121</v>
      </c>
      <c r="Y12" s="51">
        <f t="shared" ca="1" si="3"/>
        <v>30</v>
      </c>
      <c r="Z12" s="51">
        <v>1</v>
      </c>
      <c r="AA12" s="51"/>
      <c r="AB12" s="51"/>
      <c r="AC12" s="52">
        <f t="shared" ca="1" si="4"/>
        <v>31</v>
      </c>
      <c r="AD12" s="51">
        <v>0</v>
      </c>
      <c r="AE12" s="51" t="s">
        <v>18</v>
      </c>
      <c r="AF12" s="23" t="str">
        <f t="shared" si="0"/>
        <v>6</v>
      </c>
    </row>
    <row r="13" spans="1:32" ht="15" thickTop="1" thickBot="1" x14ac:dyDescent="0.3">
      <c r="A13" s="23" t="s">
        <v>145</v>
      </c>
      <c r="B13" s="23" t="s">
        <v>62</v>
      </c>
      <c r="C13" s="23">
        <f t="shared" ca="1" si="9"/>
        <v>50</v>
      </c>
      <c r="D13" s="23">
        <v>1</v>
      </c>
      <c r="E13" s="23"/>
      <c r="F13" s="23"/>
      <c r="G13" s="52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100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2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1"/>
      <c r="X13" s="51" t="s">
        <v>121</v>
      </c>
      <c r="Y13" s="51">
        <f t="shared" ca="1" si="3"/>
        <v>30</v>
      </c>
      <c r="Z13" s="51">
        <v>1</v>
      </c>
      <c r="AA13" s="51"/>
      <c r="AB13" s="51"/>
      <c r="AC13" s="52">
        <f t="shared" ca="1" si="4"/>
        <v>31</v>
      </c>
      <c r="AD13" s="51">
        <v>0</v>
      </c>
      <c r="AE13" s="51" t="s">
        <v>18</v>
      </c>
      <c r="AF13" s="23" t="str">
        <f t="shared" si="0"/>
        <v>6</v>
      </c>
    </row>
    <row r="14" spans="1:32" ht="15" thickTop="1" thickBot="1" x14ac:dyDescent="0.3">
      <c r="A14" s="183" t="s">
        <v>14</v>
      </c>
      <c r="B14" s="184"/>
      <c r="C14" s="184"/>
      <c r="D14" s="184"/>
      <c r="E14" s="184"/>
      <c r="F14" s="184"/>
      <c r="G14" s="184"/>
      <c r="H14" s="184"/>
      <c r="I14" s="184"/>
      <c r="J14" s="185"/>
      <c r="L14" s="23" t="s">
        <v>193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2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1"/>
      <c r="X14" s="51" t="s">
        <v>121</v>
      </c>
      <c r="Y14" s="51">
        <f t="shared" ca="1" si="3"/>
        <v>30</v>
      </c>
      <c r="Z14" s="51">
        <v>1</v>
      </c>
      <c r="AA14" s="51"/>
      <c r="AB14" s="51"/>
      <c r="AC14" s="52">
        <f t="shared" ca="1" si="4"/>
        <v>31</v>
      </c>
      <c r="AD14" s="51">
        <v>0</v>
      </c>
      <c r="AE14" s="51" t="s">
        <v>18</v>
      </c>
      <c r="AF14" s="23" t="str">
        <f t="shared" si="0"/>
        <v>6</v>
      </c>
    </row>
    <row r="15" spans="1:32" ht="15" thickTop="1" thickBot="1" x14ac:dyDescent="0.3">
      <c r="A15" s="23" t="s">
        <v>85</v>
      </c>
      <c r="B15" s="23" t="s">
        <v>305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2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83" t="s">
        <v>308</v>
      </c>
      <c r="M15" s="184"/>
      <c r="N15" s="184"/>
      <c r="O15" s="184"/>
      <c r="P15" s="184"/>
      <c r="Q15" s="184"/>
      <c r="R15" s="184"/>
      <c r="S15" s="184"/>
      <c r="T15" s="184"/>
      <c r="U15" s="185"/>
      <c r="W15" s="51"/>
      <c r="X15" s="51" t="s">
        <v>121</v>
      </c>
      <c r="Y15" s="51">
        <f t="shared" ca="1" si="3"/>
        <v>30</v>
      </c>
      <c r="Z15" s="51">
        <v>1</v>
      </c>
      <c r="AA15" s="51"/>
      <c r="AB15" s="51"/>
      <c r="AC15" s="52">
        <f t="shared" ca="1" si="4"/>
        <v>31</v>
      </c>
      <c r="AD15" s="51">
        <v>0</v>
      </c>
      <c r="AE15" s="51" t="s">
        <v>18</v>
      </c>
      <c r="AF15" s="23" t="str">
        <f t="shared" si="0"/>
        <v>6</v>
      </c>
    </row>
    <row r="16" spans="1:32" ht="15" thickTop="1" thickBot="1" x14ac:dyDescent="0.3">
      <c r="A16" s="23" t="s">
        <v>86</v>
      </c>
      <c r="B16" s="23" t="s">
        <v>305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2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93</v>
      </c>
      <c r="M16" s="23" t="s">
        <v>62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2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1"/>
      <c r="X16" s="51" t="s">
        <v>121</v>
      </c>
      <c r="Y16" s="51">
        <f t="shared" ca="1" si="3"/>
        <v>30</v>
      </c>
      <c r="Z16" s="51">
        <v>1</v>
      </c>
      <c r="AA16" s="51"/>
      <c r="AB16" s="51"/>
      <c r="AC16" s="52">
        <f t="shared" ca="1" si="4"/>
        <v>31</v>
      </c>
      <c r="AD16" s="51">
        <v>0</v>
      </c>
      <c r="AE16" s="51" t="s">
        <v>18</v>
      </c>
      <c r="AF16" s="23" t="str">
        <f t="shared" si="0"/>
        <v>6</v>
      </c>
    </row>
    <row r="17" spans="1:32" ht="15" thickTop="1" thickBot="1" x14ac:dyDescent="0.3">
      <c r="A17" s="23" t="s">
        <v>87</v>
      </c>
      <c r="B17" s="23" t="s">
        <v>305</v>
      </c>
      <c r="C17" s="23">
        <f t="shared" ca="1" si="14"/>
        <v>40</v>
      </c>
      <c r="D17" s="23">
        <v>30</v>
      </c>
      <c r="E17" s="23"/>
      <c r="F17" s="23"/>
      <c r="G17" s="52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94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2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1"/>
      <c r="X17" s="51" t="s">
        <v>121</v>
      </c>
      <c r="Y17" s="51">
        <f t="shared" ca="1" si="3"/>
        <v>30</v>
      </c>
      <c r="Z17" s="51">
        <v>1</v>
      </c>
      <c r="AA17" s="51"/>
      <c r="AB17" s="51"/>
      <c r="AC17" s="52">
        <f t="shared" ca="1" si="4"/>
        <v>31</v>
      </c>
      <c r="AD17" s="51">
        <v>0</v>
      </c>
      <c r="AE17" s="51" t="s">
        <v>18</v>
      </c>
      <c r="AF17" s="23" t="str">
        <f t="shared" si="0"/>
        <v>6</v>
      </c>
    </row>
    <row r="18" spans="1:32" ht="15" thickTop="1" thickBot="1" x14ac:dyDescent="0.3">
      <c r="A18" s="23" t="s">
        <v>88</v>
      </c>
      <c r="B18" s="23" t="s">
        <v>305</v>
      </c>
      <c r="C18" s="23">
        <f t="shared" ca="1" si="14"/>
        <v>40</v>
      </c>
      <c r="D18" s="23">
        <v>1</v>
      </c>
      <c r="E18" s="23"/>
      <c r="F18" s="23"/>
      <c r="G18" s="52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92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2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1"/>
      <c r="X18" s="51" t="s">
        <v>121</v>
      </c>
      <c r="Y18" s="51">
        <f t="shared" ca="1" si="3"/>
        <v>30</v>
      </c>
      <c r="Z18" s="51">
        <v>1</v>
      </c>
      <c r="AA18" s="51"/>
      <c r="AB18" s="51"/>
      <c r="AC18" s="52">
        <f t="shared" ca="1" si="4"/>
        <v>31</v>
      </c>
      <c r="AD18" s="51">
        <v>0</v>
      </c>
      <c r="AE18" s="51" t="s">
        <v>18</v>
      </c>
      <c r="AF18" s="23" t="str">
        <f t="shared" si="0"/>
        <v>6</v>
      </c>
    </row>
    <row r="19" spans="1:32" ht="15" thickTop="1" thickBot="1" x14ac:dyDescent="0.3">
      <c r="A19" s="183" t="s">
        <v>15</v>
      </c>
      <c r="B19" s="184"/>
      <c r="C19" s="184"/>
      <c r="D19" s="184"/>
      <c r="E19" s="184"/>
      <c r="F19" s="184"/>
      <c r="G19" s="184"/>
      <c r="H19" s="184"/>
      <c r="I19" s="184"/>
      <c r="J19" s="185"/>
      <c r="L19" s="23" t="s">
        <v>104</v>
      </c>
      <c r="M19" s="23" t="s">
        <v>51</v>
      </c>
      <c r="N19" s="23">
        <f t="shared" ca="1" si="16"/>
        <v>50</v>
      </c>
      <c r="O19" s="23">
        <v>1</v>
      </c>
      <c r="P19" s="23"/>
      <c r="Q19" s="23"/>
      <c r="R19" s="52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1"/>
      <c r="X19" s="51" t="s">
        <v>121</v>
      </c>
      <c r="Y19" s="51">
        <f t="shared" ca="1" si="3"/>
        <v>30</v>
      </c>
      <c r="Z19" s="51">
        <v>1</v>
      </c>
      <c r="AA19" s="51"/>
      <c r="AB19" s="51"/>
      <c r="AC19" s="52">
        <f t="shared" ca="1" si="4"/>
        <v>31</v>
      </c>
      <c r="AD19" s="51">
        <v>0</v>
      </c>
      <c r="AE19" s="51" t="s">
        <v>18</v>
      </c>
      <c r="AF19" s="23" t="str">
        <f t="shared" si="0"/>
        <v>6</v>
      </c>
    </row>
    <row r="20" spans="1:32" ht="15" thickTop="1" thickBot="1" x14ac:dyDescent="0.3">
      <c r="A20" s="23" t="s">
        <v>143</v>
      </c>
      <c r="B20" s="23" t="s">
        <v>121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2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303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2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1"/>
      <c r="X20" s="51" t="s">
        <v>121</v>
      </c>
      <c r="Y20" s="51">
        <f t="shared" ca="1" si="3"/>
        <v>30</v>
      </c>
      <c r="Z20" s="51">
        <v>1</v>
      </c>
      <c r="AA20" s="51"/>
      <c r="AB20" s="51"/>
      <c r="AC20" s="52">
        <f t="shared" ca="1" si="4"/>
        <v>31</v>
      </c>
      <c r="AD20" s="51">
        <v>0</v>
      </c>
      <c r="AE20" s="51" t="s">
        <v>18</v>
      </c>
      <c r="AF20" s="23" t="str">
        <f t="shared" si="0"/>
        <v>6</v>
      </c>
    </row>
    <row r="21" spans="1:32" ht="15" thickTop="1" thickBot="1" x14ac:dyDescent="0.3">
      <c r="A21" s="23" t="s">
        <v>144</v>
      </c>
      <c r="B21" s="23" t="s">
        <v>121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2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83" t="s">
        <v>309</v>
      </c>
      <c r="M21" s="184"/>
      <c r="N21" s="184"/>
      <c r="O21" s="184"/>
      <c r="P21" s="184"/>
      <c r="Q21" s="184"/>
      <c r="R21" s="184"/>
      <c r="S21" s="184"/>
      <c r="T21" s="184"/>
      <c r="U21" s="185"/>
      <c r="W21" s="51"/>
      <c r="X21" s="51" t="s">
        <v>121</v>
      </c>
      <c r="Y21" s="51">
        <f t="shared" ca="1" si="3"/>
        <v>30</v>
      </c>
      <c r="Z21" s="51">
        <v>1</v>
      </c>
      <c r="AA21" s="51"/>
      <c r="AB21" s="51"/>
      <c r="AC21" s="52">
        <f t="shared" ca="1" si="4"/>
        <v>31</v>
      </c>
      <c r="AD21" s="51">
        <v>0</v>
      </c>
      <c r="AE21" s="51" t="s">
        <v>18</v>
      </c>
      <c r="AF21" s="23" t="str">
        <f t="shared" si="0"/>
        <v>6</v>
      </c>
    </row>
    <row r="22" spans="1:32" ht="15" thickTop="1" thickBot="1" x14ac:dyDescent="0.3">
      <c r="A22" s="23" t="s">
        <v>89</v>
      </c>
      <c r="B22" s="23" t="s">
        <v>121</v>
      </c>
      <c r="C22" s="23">
        <f t="shared" ca="1" si="19"/>
        <v>30</v>
      </c>
      <c r="D22" s="23">
        <v>1</v>
      </c>
      <c r="E22" s="23"/>
      <c r="F22" s="23"/>
      <c r="G22" s="52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54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2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1" t="s">
        <v>121</v>
      </c>
      <c r="Y22" s="51">
        <f t="shared" ca="1" si="3"/>
        <v>30</v>
      </c>
      <c r="Z22" s="51">
        <v>1</v>
      </c>
      <c r="AA22" s="51"/>
      <c r="AB22" s="51"/>
      <c r="AC22" s="52">
        <f t="shared" ca="1" si="4"/>
        <v>31</v>
      </c>
      <c r="AD22" s="51">
        <v>0</v>
      </c>
      <c r="AE22" s="51" t="s">
        <v>18</v>
      </c>
      <c r="AF22" s="23" t="str">
        <f t="shared" si="0"/>
        <v>6</v>
      </c>
    </row>
    <row r="23" spans="1:32" ht="15" thickTop="1" thickBot="1" x14ac:dyDescent="0.3">
      <c r="A23" s="23" t="s">
        <v>120</v>
      </c>
      <c r="B23" s="23" t="s">
        <v>121</v>
      </c>
      <c r="C23" s="23">
        <f t="shared" ca="1" si="19"/>
        <v>30</v>
      </c>
      <c r="D23" s="23">
        <v>1</v>
      </c>
      <c r="E23" s="23"/>
      <c r="F23" s="23"/>
      <c r="G23" s="52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160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2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1"/>
      <c r="X23" s="51" t="s">
        <v>121</v>
      </c>
      <c r="Y23" s="51">
        <f t="shared" ca="1" si="3"/>
        <v>30</v>
      </c>
      <c r="Z23" s="51">
        <v>1</v>
      </c>
      <c r="AA23" s="51"/>
      <c r="AB23" s="51"/>
      <c r="AC23" s="52">
        <f t="shared" ca="1" si="4"/>
        <v>31</v>
      </c>
      <c r="AD23" s="51">
        <v>0</v>
      </c>
      <c r="AE23" s="51" t="s">
        <v>18</v>
      </c>
      <c r="AF23" s="23" t="str">
        <f t="shared" si="0"/>
        <v>6</v>
      </c>
    </row>
    <row r="24" spans="1:32" ht="15" thickTop="1" thickBot="1" x14ac:dyDescent="0.3">
      <c r="A24" s="23" t="s">
        <v>90</v>
      </c>
      <c r="B24" s="23" t="s">
        <v>121</v>
      </c>
      <c r="C24" s="23">
        <f t="shared" ca="1" si="19"/>
        <v>30</v>
      </c>
      <c r="D24" s="23">
        <v>1</v>
      </c>
      <c r="E24" s="23"/>
      <c r="F24" s="23"/>
      <c r="G24" s="52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96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2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1"/>
      <c r="X24" s="51" t="s">
        <v>121</v>
      </c>
      <c r="Y24" s="51">
        <f t="shared" ca="1" si="3"/>
        <v>30</v>
      </c>
      <c r="Z24" s="51">
        <v>1</v>
      </c>
      <c r="AA24" s="51"/>
      <c r="AB24" s="51"/>
      <c r="AC24" s="52">
        <f t="shared" ca="1" si="4"/>
        <v>31</v>
      </c>
      <c r="AD24" s="51">
        <v>0</v>
      </c>
      <c r="AE24" s="51" t="s">
        <v>18</v>
      </c>
      <c r="AF24" s="23" t="str">
        <f t="shared" si="0"/>
        <v>6</v>
      </c>
    </row>
    <row r="25" spans="1:32" ht="15" thickTop="1" thickBot="1" x14ac:dyDescent="0.3">
      <c r="A25" s="23" t="s">
        <v>91</v>
      </c>
      <c r="B25" s="23" t="s">
        <v>121</v>
      </c>
      <c r="C25" s="23">
        <f t="shared" ca="1" si="19"/>
        <v>30</v>
      </c>
      <c r="D25" s="23">
        <v>1</v>
      </c>
      <c r="E25" s="23"/>
      <c r="F25" s="23"/>
      <c r="G25" s="52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310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2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1"/>
      <c r="X25" s="51" t="s">
        <v>121</v>
      </c>
      <c r="Y25" s="51">
        <f t="shared" ca="1" si="3"/>
        <v>30</v>
      </c>
      <c r="Z25" s="51">
        <v>1</v>
      </c>
      <c r="AA25" s="51"/>
      <c r="AB25" s="51"/>
      <c r="AC25" s="52">
        <f t="shared" ca="1" si="4"/>
        <v>31</v>
      </c>
      <c r="AD25" s="51">
        <v>0</v>
      </c>
      <c r="AE25" s="51" t="s">
        <v>18</v>
      </c>
      <c r="AF25" s="23" t="str">
        <f t="shared" si="0"/>
        <v>6</v>
      </c>
    </row>
    <row r="26" spans="1:32" ht="15" thickTop="1" thickBot="1" x14ac:dyDescent="0.3">
      <c r="A26" s="183" t="s">
        <v>16</v>
      </c>
      <c r="B26" s="184"/>
      <c r="C26" s="184"/>
      <c r="D26" s="184"/>
      <c r="E26" s="184"/>
      <c r="F26" s="184"/>
      <c r="G26" s="184"/>
      <c r="H26" s="184"/>
      <c r="I26" s="184"/>
      <c r="J26" s="185"/>
      <c r="L26" s="183" t="s">
        <v>311</v>
      </c>
      <c r="M26" s="184"/>
      <c r="N26" s="184"/>
      <c r="O26" s="184"/>
      <c r="P26" s="184"/>
      <c r="Q26" s="184"/>
      <c r="R26" s="184"/>
      <c r="S26" s="184"/>
      <c r="T26" s="184"/>
      <c r="U26" s="185"/>
      <c r="W26" s="51"/>
      <c r="X26" s="51" t="s">
        <v>121</v>
      </c>
      <c r="Y26" s="51">
        <f t="shared" ca="1" si="3"/>
        <v>30</v>
      </c>
      <c r="Z26" s="51">
        <v>1</v>
      </c>
      <c r="AA26" s="51"/>
      <c r="AB26" s="51"/>
      <c r="AC26" s="52">
        <f t="shared" ca="1" si="4"/>
        <v>31</v>
      </c>
      <c r="AD26" s="51">
        <v>0</v>
      </c>
      <c r="AE26" s="51" t="s">
        <v>18</v>
      </c>
      <c r="AF26" s="23" t="str">
        <f t="shared" si="0"/>
        <v>6</v>
      </c>
    </row>
    <row r="27" spans="1:32" ht="15" thickTop="1" thickBot="1" x14ac:dyDescent="0.3">
      <c r="A27" s="23" t="s">
        <v>77</v>
      </c>
      <c r="B27" s="23" t="s">
        <v>304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2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157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2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1"/>
      <c r="X27" s="51" t="s">
        <v>121</v>
      </c>
      <c r="Y27" s="51">
        <f t="shared" ca="1" si="3"/>
        <v>30</v>
      </c>
      <c r="Z27" s="51">
        <v>1</v>
      </c>
      <c r="AA27" s="51"/>
      <c r="AB27" s="51"/>
      <c r="AC27" s="52">
        <f t="shared" ca="1" si="4"/>
        <v>31</v>
      </c>
      <c r="AD27" s="51">
        <v>0</v>
      </c>
      <c r="AE27" s="51" t="s">
        <v>18</v>
      </c>
      <c r="AF27" s="23" t="str">
        <f t="shared" si="0"/>
        <v>6</v>
      </c>
    </row>
    <row r="28" spans="1:32" ht="15" thickTop="1" thickBot="1" x14ac:dyDescent="0.3">
      <c r="A28" s="23" t="s">
        <v>78</v>
      </c>
      <c r="B28" s="23" t="s">
        <v>304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2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98</v>
      </c>
      <c r="M28" s="23" t="s">
        <v>51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2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1"/>
      <c r="X28" s="51" t="s">
        <v>121</v>
      </c>
      <c r="Y28" s="51">
        <f t="shared" ca="1" si="3"/>
        <v>30</v>
      </c>
      <c r="Z28" s="51">
        <v>1</v>
      </c>
      <c r="AA28" s="51"/>
      <c r="AB28" s="51"/>
      <c r="AC28" s="52">
        <f t="shared" ca="1" si="4"/>
        <v>31</v>
      </c>
      <c r="AD28" s="51">
        <v>0</v>
      </c>
      <c r="AE28" s="51" t="s">
        <v>18</v>
      </c>
      <c r="AF28" s="23" t="str">
        <f t="shared" si="0"/>
        <v>6</v>
      </c>
    </row>
    <row r="29" spans="1:32" ht="15" thickTop="1" thickBot="1" x14ac:dyDescent="0.3">
      <c r="A29" s="23" t="s">
        <v>79</v>
      </c>
      <c r="B29" s="23" t="s">
        <v>304</v>
      </c>
      <c r="C29" s="23">
        <f t="shared" ca="1" si="23"/>
        <v>40</v>
      </c>
      <c r="D29" s="23">
        <v>1</v>
      </c>
      <c r="E29" s="23"/>
      <c r="F29" s="23"/>
      <c r="G29" s="52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97</v>
      </c>
      <c r="M29" s="23" t="s">
        <v>51</v>
      </c>
      <c r="N29" s="23">
        <f t="shared" ca="1" si="25"/>
        <v>50</v>
      </c>
      <c r="O29" s="23">
        <v>1</v>
      </c>
      <c r="P29" s="23"/>
      <c r="Q29" s="23"/>
      <c r="R29" s="52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83" t="s">
        <v>17</v>
      </c>
      <c r="B30" s="184"/>
      <c r="C30" s="184"/>
      <c r="D30" s="184"/>
      <c r="E30" s="184"/>
      <c r="F30" s="184"/>
      <c r="G30" s="184"/>
      <c r="H30" s="184"/>
      <c r="I30" s="184"/>
      <c r="J30" s="185"/>
      <c r="L30" s="23" t="s">
        <v>95</v>
      </c>
      <c r="M30" s="23" t="s">
        <v>51</v>
      </c>
      <c r="N30" s="23">
        <f t="shared" ca="1" si="25"/>
        <v>50</v>
      </c>
      <c r="O30" s="23">
        <v>1</v>
      </c>
      <c r="P30" s="23"/>
      <c r="Q30" s="23"/>
      <c r="R30" s="52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122</v>
      </c>
      <c r="B31" s="23" t="s">
        <v>123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2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83" t="s">
        <v>350</v>
      </c>
      <c r="M31" s="184"/>
      <c r="N31" s="184"/>
      <c r="O31" s="184"/>
      <c r="P31" s="184"/>
      <c r="Q31" s="184"/>
      <c r="R31" s="184"/>
      <c r="S31" s="184"/>
      <c r="T31" s="184"/>
      <c r="U31" s="185"/>
    </row>
    <row r="32" spans="1:32" ht="15" thickTop="1" thickBot="1" x14ac:dyDescent="0.3">
      <c r="A32" s="23" t="s">
        <v>84</v>
      </c>
      <c r="B32" s="23" t="s">
        <v>123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2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351</v>
      </c>
      <c r="M32" s="23" t="s">
        <v>51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2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spans="12:21" ht="15" thickTop="1" thickBot="1" x14ac:dyDescent="0.3">
      <c r="L33" s="23" t="s">
        <v>352</v>
      </c>
      <c r="M33" s="23" t="s">
        <v>51</v>
      </c>
      <c r="N33" s="23">
        <f ca="1">LOOKUP(INDIRECT("rc[-1]",),INDIRECT("总表"&amp;"!A29:A34"),INDIRECT("总表"&amp;"!B29:B34"))</f>
        <v>50</v>
      </c>
      <c r="O33" s="23">
        <v>1</v>
      </c>
      <c r="P33" s="23"/>
      <c r="Q33" s="23"/>
      <c r="R33" s="52">
        <f ca="1">IF(SUM(N33:P33)&lt;=50,SUM(N33:P33),IF(SUM(N33:P33)&lt;=80,(SUM(N33:P33)-50)*0.7+50,(SUM(N33:P33)-80)*0.4+71))+Q33</f>
        <v>50.7</v>
      </c>
      <c r="S33" s="23">
        <v>0</v>
      </c>
      <c r="T33" s="23" t="s">
        <v>18</v>
      </c>
      <c r="U33" s="23" t="str">
        <f t="shared" ref="U33:U34" si="27">IF(O33&lt;10,"6",IF(O33&lt;20,"9",IF(O33&lt;30,"12",18)))</f>
        <v>6</v>
      </c>
    </row>
    <row r="34" spans="12:21" ht="15" thickTop="1" thickBot="1" x14ac:dyDescent="0.3">
      <c r="L34" s="23" t="s">
        <v>103</v>
      </c>
      <c r="M34" s="23" t="s">
        <v>51</v>
      </c>
      <c r="N34" s="23">
        <f ca="1">LOOKUP(INDIRECT("rc[-1]",),INDIRECT("总表"&amp;"!A29:A34"),INDIRECT("总表"&amp;"!B29:B34"))</f>
        <v>50</v>
      </c>
      <c r="O34" s="23">
        <v>1</v>
      </c>
      <c r="P34" s="23"/>
      <c r="Q34" s="23"/>
      <c r="R34" s="52">
        <f ca="1">IF(SUM(N34:P34)&lt;=50,SUM(N34:P34),IF(SUM(N34:P34)&lt;=80,(SUM(N34:P34)-50)*0.7+50,(SUM(N34:P34)-80)*0.4+71))+Q34</f>
        <v>50.7</v>
      </c>
      <c r="S34" s="23">
        <v>0</v>
      </c>
      <c r="T34" s="23" t="s">
        <v>18</v>
      </c>
      <c r="U34" s="23" t="str">
        <f t="shared" si="27"/>
        <v>6</v>
      </c>
    </row>
    <row r="35" spans="12:21" ht="14.4" thickTop="1" x14ac:dyDescent="0.25"/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18">
    <mergeCell ref="S3:U3"/>
    <mergeCell ref="A1:J2"/>
    <mergeCell ref="H3:J3"/>
    <mergeCell ref="W1:AF2"/>
    <mergeCell ref="AD3:AF3"/>
    <mergeCell ref="L1:U2"/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C5" sqref="C5:G6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8" t="s">
        <v>280</v>
      </c>
      <c r="B1" s="188"/>
      <c r="C1" s="188"/>
      <c r="D1" s="188"/>
      <c r="E1" s="188"/>
      <c r="F1" s="188"/>
      <c r="G1" s="188"/>
    </row>
    <row r="2" spans="1:22" ht="20.399999999999999" customHeight="1" thickTop="1" thickBot="1" x14ac:dyDescent="0.3">
      <c r="A2" s="188"/>
      <c r="B2" s="188"/>
      <c r="C2" s="188"/>
      <c r="D2" s="188"/>
      <c r="E2" s="188"/>
      <c r="F2" s="188"/>
      <c r="G2" s="188"/>
    </row>
    <row r="3" spans="1:22" ht="20.399999999999999" customHeight="1" thickTop="1" thickBot="1" x14ac:dyDescent="0.3">
      <c r="A3" s="161" t="s">
        <v>199</v>
      </c>
      <c r="B3" s="163"/>
      <c r="C3" s="161">
        <f ca="1">IF(总表!C36=1,INT(INDIRECT("各种技能"&amp;"!G21")/6),INT(INDIRECT("各种技能"&amp;"!G21")/8))</f>
        <v>3</v>
      </c>
      <c r="D3" s="162"/>
      <c r="E3" s="162"/>
      <c r="F3" s="162"/>
      <c r="G3" s="163"/>
    </row>
    <row r="4" spans="1:22" ht="20.399999999999999" customHeight="1" thickTop="1" thickBot="1" x14ac:dyDescent="0.3">
      <c r="A4" s="25" t="s">
        <v>36</v>
      </c>
      <c r="B4" s="25" t="s">
        <v>111</v>
      </c>
      <c r="C4" s="161" t="s">
        <v>215</v>
      </c>
      <c r="D4" s="162"/>
      <c r="E4" s="162"/>
      <c r="F4" s="162"/>
      <c r="G4" s="163"/>
      <c r="H4" s="161" t="s">
        <v>216</v>
      </c>
      <c r="I4" s="162"/>
      <c r="J4" s="162"/>
      <c r="K4" s="162"/>
      <c r="L4" s="163"/>
      <c r="M4" s="161" t="s">
        <v>217</v>
      </c>
      <c r="N4" s="162"/>
      <c r="O4" s="162"/>
      <c r="P4" s="162"/>
      <c r="Q4" s="163"/>
      <c r="R4" s="161" t="s">
        <v>218</v>
      </c>
      <c r="S4" s="162"/>
      <c r="T4" s="162"/>
      <c r="U4" s="162"/>
      <c r="V4" s="163"/>
    </row>
    <row r="5" spans="1:22" ht="20.399999999999999" customHeight="1" thickTop="1" thickBot="1" x14ac:dyDescent="0.3">
      <c r="A5" s="147" t="s">
        <v>200</v>
      </c>
      <c r="B5" s="147" t="s">
        <v>207</v>
      </c>
      <c r="C5" s="189" t="s">
        <v>208</v>
      </c>
      <c r="D5" s="190"/>
      <c r="E5" s="190"/>
      <c r="F5" s="190"/>
      <c r="G5" s="191"/>
      <c r="H5" s="189" t="s">
        <v>228</v>
      </c>
      <c r="I5" s="190"/>
      <c r="J5" s="190"/>
      <c r="K5" s="190"/>
      <c r="L5" s="191"/>
      <c r="M5" s="189" t="s">
        <v>229</v>
      </c>
      <c r="N5" s="190"/>
      <c r="O5" s="190"/>
      <c r="P5" s="190"/>
      <c r="Q5" s="191"/>
      <c r="R5" s="189" t="s">
        <v>230</v>
      </c>
      <c r="S5" s="190"/>
      <c r="T5" s="190"/>
      <c r="U5" s="190"/>
      <c r="V5" s="191"/>
    </row>
    <row r="6" spans="1:22" ht="20.399999999999999" customHeight="1" thickTop="1" thickBot="1" x14ac:dyDescent="0.3">
      <c r="A6" s="147"/>
      <c r="B6" s="147"/>
      <c r="C6" s="192"/>
      <c r="D6" s="193"/>
      <c r="E6" s="193"/>
      <c r="F6" s="193"/>
      <c r="G6" s="194"/>
      <c r="H6" s="192"/>
      <c r="I6" s="193"/>
      <c r="J6" s="193"/>
      <c r="K6" s="193"/>
      <c r="L6" s="194"/>
      <c r="M6" s="192"/>
      <c r="N6" s="193"/>
      <c r="O6" s="193"/>
      <c r="P6" s="193"/>
      <c r="Q6" s="194"/>
      <c r="R6" s="192"/>
      <c r="S6" s="193"/>
      <c r="T6" s="193"/>
      <c r="U6" s="193"/>
      <c r="V6" s="194"/>
    </row>
    <row r="7" spans="1:22" ht="20.399999999999999" customHeight="1" thickTop="1" thickBot="1" x14ac:dyDescent="0.3">
      <c r="A7" s="147" t="s">
        <v>201</v>
      </c>
      <c r="B7" s="147" t="s">
        <v>207</v>
      </c>
      <c r="C7" s="189" t="s">
        <v>209</v>
      </c>
      <c r="D7" s="190" t="s">
        <v>149</v>
      </c>
      <c r="E7" s="190"/>
      <c r="F7" s="190"/>
      <c r="G7" s="191"/>
      <c r="H7" s="189" t="s">
        <v>219</v>
      </c>
      <c r="I7" s="190"/>
      <c r="J7" s="190"/>
      <c r="K7" s="190"/>
      <c r="L7" s="191"/>
      <c r="M7" s="189" t="s">
        <v>220</v>
      </c>
      <c r="N7" s="190"/>
      <c r="O7" s="190"/>
      <c r="P7" s="190"/>
      <c r="Q7" s="191"/>
      <c r="R7" s="189" t="s">
        <v>221</v>
      </c>
      <c r="S7" s="190"/>
      <c r="T7" s="190"/>
      <c r="U7" s="190"/>
      <c r="V7" s="191"/>
    </row>
    <row r="8" spans="1:22" ht="20.399999999999999" customHeight="1" thickTop="1" thickBot="1" x14ac:dyDescent="0.3">
      <c r="A8" s="147"/>
      <c r="B8" s="147"/>
      <c r="C8" s="192"/>
      <c r="D8" s="193"/>
      <c r="E8" s="193"/>
      <c r="F8" s="193"/>
      <c r="G8" s="194"/>
      <c r="H8" s="192"/>
      <c r="I8" s="193"/>
      <c r="J8" s="193"/>
      <c r="K8" s="193"/>
      <c r="L8" s="194"/>
      <c r="M8" s="192"/>
      <c r="N8" s="193"/>
      <c r="O8" s="193"/>
      <c r="P8" s="193"/>
      <c r="Q8" s="194"/>
      <c r="R8" s="192"/>
      <c r="S8" s="193"/>
      <c r="T8" s="193"/>
      <c r="U8" s="193"/>
      <c r="V8" s="194"/>
    </row>
    <row r="9" spans="1:22" ht="20.399999999999999" customHeight="1" thickTop="1" thickBot="1" x14ac:dyDescent="0.3">
      <c r="A9" s="147" t="s">
        <v>202</v>
      </c>
      <c r="B9" s="147" t="s">
        <v>207</v>
      </c>
      <c r="C9" s="189" t="s">
        <v>210</v>
      </c>
      <c r="D9" s="190"/>
      <c r="E9" s="190"/>
      <c r="F9" s="190"/>
      <c r="G9" s="191"/>
      <c r="H9" s="189" t="s">
        <v>222</v>
      </c>
      <c r="I9" s="190"/>
      <c r="J9" s="190"/>
      <c r="K9" s="190"/>
      <c r="L9" s="191"/>
      <c r="M9" s="189" t="s">
        <v>231</v>
      </c>
      <c r="N9" s="190"/>
      <c r="O9" s="190"/>
      <c r="P9" s="190"/>
      <c r="Q9" s="191"/>
      <c r="R9" s="189" t="s">
        <v>223</v>
      </c>
      <c r="S9" s="190"/>
      <c r="T9" s="190"/>
      <c r="U9" s="190"/>
      <c r="V9" s="191"/>
    </row>
    <row r="10" spans="1:22" ht="20.399999999999999" customHeight="1" thickTop="1" thickBot="1" x14ac:dyDescent="0.3">
      <c r="A10" s="147"/>
      <c r="B10" s="147"/>
      <c r="C10" s="192"/>
      <c r="D10" s="193"/>
      <c r="E10" s="193"/>
      <c r="F10" s="193"/>
      <c r="G10" s="194"/>
      <c r="H10" s="192"/>
      <c r="I10" s="193"/>
      <c r="J10" s="193"/>
      <c r="K10" s="193"/>
      <c r="L10" s="194"/>
      <c r="M10" s="192"/>
      <c r="N10" s="193"/>
      <c r="O10" s="193"/>
      <c r="P10" s="193"/>
      <c r="Q10" s="194"/>
      <c r="R10" s="192"/>
      <c r="S10" s="193"/>
      <c r="T10" s="193"/>
      <c r="U10" s="193"/>
      <c r="V10" s="194"/>
    </row>
    <row r="11" spans="1:22" ht="20.399999999999999" customHeight="1" thickTop="1" thickBot="1" x14ac:dyDescent="0.3">
      <c r="A11" s="147" t="s">
        <v>203</v>
      </c>
      <c r="B11" s="147" t="s">
        <v>207</v>
      </c>
      <c r="C11" s="189" t="s">
        <v>211</v>
      </c>
      <c r="D11" s="190"/>
      <c r="E11" s="190"/>
      <c r="F11" s="190"/>
      <c r="G11" s="191"/>
      <c r="H11" s="189" t="s">
        <v>224</v>
      </c>
      <c r="I11" s="190"/>
      <c r="J11" s="190"/>
      <c r="K11" s="190"/>
      <c r="L11" s="191"/>
      <c r="M11" s="189" t="s">
        <v>225</v>
      </c>
      <c r="N11" s="190"/>
      <c r="O11" s="190"/>
      <c r="P11" s="190"/>
      <c r="Q11" s="191"/>
      <c r="R11" s="189" t="s">
        <v>226</v>
      </c>
      <c r="S11" s="190"/>
      <c r="T11" s="190"/>
      <c r="U11" s="190"/>
      <c r="V11" s="191"/>
    </row>
    <row r="12" spans="1:22" ht="20.399999999999999" customHeight="1" thickTop="1" thickBot="1" x14ac:dyDescent="0.3">
      <c r="A12" s="147"/>
      <c r="B12" s="147"/>
      <c r="C12" s="192"/>
      <c r="D12" s="193"/>
      <c r="E12" s="193"/>
      <c r="F12" s="193"/>
      <c r="G12" s="194"/>
      <c r="H12" s="192"/>
      <c r="I12" s="193"/>
      <c r="J12" s="193"/>
      <c r="K12" s="193"/>
      <c r="L12" s="194"/>
      <c r="M12" s="192"/>
      <c r="N12" s="193"/>
      <c r="O12" s="193"/>
      <c r="P12" s="193"/>
      <c r="Q12" s="194"/>
      <c r="R12" s="192"/>
      <c r="S12" s="193"/>
      <c r="T12" s="193"/>
      <c r="U12" s="193"/>
      <c r="V12" s="194"/>
    </row>
    <row r="13" spans="1:22" ht="20.399999999999999" customHeight="1" thickTop="1" thickBot="1" x14ac:dyDescent="0.3">
      <c r="A13" s="188" t="s">
        <v>281</v>
      </c>
      <c r="B13" s="188"/>
      <c r="C13" s="188"/>
      <c r="D13" s="188"/>
      <c r="E13" s="188"/>
      <c r="F13" s="188"/>
      <c r="G13" s="188"/>
    </row>
    <row r="14" spans="1:22" ht="20.399999999999999" customHeight="1" thickTop="1" thickBot="1" x14ac:dyDescent="0.3">
      <c r="A14" s="188"/>
      <c r="B14" s="188"/>
      <c r="C14" s="188"/>
      <c r="D14" s="188"/>
      <c r="E14" s="188"/>
      <c r="F14" s="188"/>
      <c r="G14" s="188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105</v>
      </c>
      <c r="D15" s="164" t="s">
        <v>106</v>
      </c>
      <c r="E15" s="164"/>
      <c r="F15" s="164"/>
      <c r="G15" s="164"/>
    </row>
    <row r="16" spans="1:22" ht="20.399999999999999" customHeight="1" thickTop="1" thickBot="1" x14ac:dyDescent="0.3">
      <c r="A16" s="147" t="s">
        <v>146</v>
      </c>
      <c r="B16" s="147" t="s">
        <v>150</v>
      </c>
      <c r="C16" s="147">
        <v>10</v>
      </c>
      <c r="D16" s="195" t="s">
        <v>148</v>
      </c>
      <c r="E16" s="195"/>
      <c r="F16" s="195"/>
      <c r="G16" s="195"/>
    </row>
    <row r="17" spans="1:7" ht="20.399999999999999" customHeight="1" thickTop="1" thickBot="1" x14ac:dyDescent="0.3">
      <c r="A17" s="147"/>
      <c r="B17" s="147"/>
      <c r="C17" s="147"/>
      <c r="D17" s="195"/>
      <c r="E17" s="195"/>
      <c r="F17" s="195"/>
      <c r="G17" s="195"/>
    </row>
    <row r="18" spans="1:7" ht="20.399999999999999" customHeight="1" thickTop="1" thickBot="1" x14ac:dyDescent="0.3">
      <c r="A18" s="147" t="s">
        <v>147</v>
      </c>
      <c r="B18" s="147" t="s">
        <v>151</v>
      </c>
      <c r="C18" s="147">
        <v>0</v>
      </c>
      <c r="D18" s="195" t="s">
        <v>149</v>
      </c>
      <c r="E18" s="195"/>
      <c r="F18" s="195"/>
      <c r="G18" s="195"/>
    </row>
    <row r="19" spans="1:7" ht="20.399999999999999" customHeight="1" thickTop="1" thickBot="1" x14ac:dyDescent="0.3">
      <c r="A19" s="147"/>
      <c r="B19" s="147"/>
      <c r="C19" s="147"/>
      <c r="D19" s="195"/>
      <c r="E19" s="195"/>
      <c r="F19" s="195"/>
      <c r="G19" s="195"/>
    </row>
    <row r="20" spans="1:7" ht="20.399999999999999" customHeight="1" thickTop="1" thickBot="1" x14ac:dyDescent="0.3">
      <c r="A20" s="147"/>
      <c r="B20" s="147"/>
      <c r="C20" s="147"/>
      <c r="D20" s="195"/>
      <c r="E20" s="195"/>
      <c r="F20" s="195"/>
      <c r="G20" s="195"/>
    </row>
    <row r="21" spans="1:7" ht="20.399999999999999" customHeight="1" thickTop="1" thickBot="1" x14ac:dyDescent="0.3">
      <c r="A21" s="147"/>
      <c r="B21" s="147"/>
      <c r="C21" s="147"/>
      <c r="D21" s="195"/>
      <c r="E21" s="195"/>
      <c r="F21" s="195"/>
      <c r="G21" s="195"/>
    </row>
    <row r="22" spans="1:7" ht="20.399999999999999" customHeight="1" thickTop="1" thickBot="1" x14ac:dyDescent="0.3">
      <c r="A22" s="147"/>
      <c r="B22" s="147"/>
      <c r="C22" s="147"/>
      <c r="D22" s="195"/>
      <c r="E22" s="195"/>
      <c r="F22" s="195"/>
      <c r="G22" s="195"/>
    </row>
    <row r="23" spans="1:7" ht="20.399999999999999" customHeight="1" thickTop="1" thickBot="1" x14ac:dyDescent="0.3">
      <c r="A23" s="147"/>
      <c r="B23" s="147"/>
      <c r="C23" s="147"/>
      <c r="D23" s="195"/>
      <c r="E23" s="195"/>
      <c r="F23" s="195"/>
      <c r="G23" s="195"/>
    </row>
    <row r="24" spans="1:7" ht="20.399999999999999" customHeight="1" thickTop="1" thickBot="1" x14ac:dyDescent="0.3">
      <c r="A24" s="147"/>
      <c r="B24" s="147"/>
      <c r="C24" s="147"/>
      <c r="D24" s="195"/>
      <c r="E24" s="195"/>
      <c r="F24" s="195"/>
      <c r="G24" s="195"/>
    </row>
    <row r="25" spans="1:7" ht="20.399999999999999" customHeight="1" thickTop="1" thickBot="1" x14ac:dyDescent="0.3">
      <c r="A25" s="147"/>
      <c r="B25" s="147"/>
      <c r="C25" s="147"/>
      <c r="D25" s="195"/>
      <c r="E25" s="195"/>
      <c r="F25" s="195"/>
      <c r="G25" s="195"/>
    </row>
    <row r="26" spans="1:7" ht="20.399999999999999" customHeight="1" thickTop="1" thickBot="1" x14ac:dyDescent="0.3">
      <c r="A26" s="147"/>
      <c r="B26" s="147"/>
      <c r="C26" s="147"/>
      <c r="D26" s="195"/>
      <c r="E26" s="195"/>
      <c r="F26" s="195"/>
      <c r="G26" s="195"/>
    </row>
    <row r="27" spans="1:7" ht="20.399999999999999" customHeight="1" thickTop="1" thickBot="1" x14ac:dyDescent="0.3">
      <c r="A27" s="147"/>
      <c r="B27" s="147"/>
      <c r="C27" s="147"/>
      <c r="D27" s="195"/>
      <c r="E27" s="195"/>
      <c r="F27" s="195"/>
      <c r="G27" s="195"/>
    </row>
    <row r="28" spans="1:7" ht="20.399999999999999" customHeight="1" thickTop="1" x14ac:dyDescent="0.25"/>
  </sheetData>
  <mergeCells count="57">
    <mergeCell ref="A24:A25"/>
    <mergeCell ref="B24:B25"/>
    <mergeCell ref="C24:C25"/>
    <mergeCell ref="D24:G25"/>
    <mergeCell ref="A26:A27"/>
    <mergeCell ref="B26:B27"/>
    <mergeCell ref="C26:C27"/>
    <mergeCell ref="D26:G27"/>
    <mergeCell ref="A20:A21"/>
    <mergeCell ref="B20:B21"/>
    <mergeCell ref="C20:C21"/>
    <mergeCell ref="D20:G21"/>
    <mergeCell ref="A22:A23"/>
    <mergeCell ref="B22:B23"/>
    <mergeCell ref="C22:C23"/>
    <mergeCell ref="D22:G23"/>
    <mergeCell ref="A16:A17"/>
    <mergeCell ref="B16:B17"/>
    <mergeCell ref="C16:C17"/>
    <mergeCell ref="D16:G17"/>
    <mergeCell ref="A18:A19"/>
    <mergeCell ref="B18:B19"/>
    <mergeCell ref="C18:C19"/>
    <mergeCell ref="D18:G19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A13:G14"/>
    <mergeCell ref="D15:G15"/>
    <mergeCell ref="A5:A6"/>
    <mergeCell ref="B5:B6"/>
    <mergeCell ref="C5:G6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H9" sqref="H9:L10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8" t="s">
        <v>144</v>
      </c>
      <c r="B1" s="188"/>
      <c r="C1" s="188"/>
      <c r="D1" s="188"/>
      <c r="E1" s="188"/>
      <c r="F1" s="188"/>
      <c r="G1" s="188"/>
    </row>
    <row r="2" spans="1:22" ht="20.399999999999999" customHeight="1" thickTop="1" thickBot="1" x14ac:dyDescent="0.3">
      <c r="A2" s="188"/>
      <c r="B2" s="188"/>
      <c r="C2" s="188"/>
      <c r="D2" s="188"/>
      <c r="E2" s="188"/>
      <c r="F2" s="188"/>
      <c r="G2" s="188"/>
    </row>
    <row r="3" spans="1:22" ht="20.399999999999999" customHeight="1" thickTop="1" thickBot="1" x14ac:dyDescent="0.3">
      <c r="A3" s="161" t="s">
        <v>199</v>
      </c>
      <c r="B3" s="163"/>
      <c r="C3" s="161">
        <f ca="1">IF(总表!C36=1,INT(INDIRECT("各种技能"&amp;"!G21")/6),INT(INDIRECT("各种技能"&amp;"!G21")/8))</f>
        <v>3</v>
      </c>
      <c r="D3" s="162"/>
      <c r="E3" s="162"/>
      <c r="F3" s="162"/>
      <c r="G3" s="163"/>
    </row>
    <row r="4" spans="1:22" ht="20.399999999999999" customHeight="1" thickTop="1" thickBot="1" x14ac:dyDescent="0.3">
      <c r="A4" s="25" t="s">
        <v>36</v>
      </c>
      <c r="B4" s="25" t="s">
        <v>111</v>
      </c>
      <c r="C4" s="161" t="s">
        <v>215</v>
      </c>
      <c r="D4" s="162"/>
      <c r="E4" s="162"/>
      <c r="F4" s="162"/>
      <c r="G4" s="163"/>
      <c r="H4" s="161" t="s">
        <v>216</v>
      </c>
      <c r="I4" s="162"/>
      <c r="J4" s="162"/>
      <c r="K4" s="162"/>
      <c r="L4" s="163"/>
      <c r="M4" s="161" t="s">
        <v>217</v>
      </c>
      <c r="N4" s="162"/>
      <c r="O4" s="162"/>
      <c r="P4" s="162"/>
      <c r="Q4" s="163"/>
      <c r="R4" s="161" t="s">
        <v>218</v>
      </c>
      <c r="S4" s="162"/>
      <c r="T4" s="162"/>
      <c r="U4" s="162"/>
      <c r="V4" s="163"/>
    </row>
    <row r="5" spans="1:22" ht="20.399999999999999" customHeight="1" thickTop="1" thickBot="1" x14ac:dyDescent="0.3">
      <c r="A5" s="147" t="s">
        <v>204</v>
      </c>
      <c r="B5" s="147" t="s">
        <v>207</v>
      </c>
      <c r="C5" s="189" t="s">
        <v>232</v>
      </c>
      <c r="D5" s="190"/>
      <c r="E5" s="190"/>
      <c r="F5" s="190"/>
      <c r="G5" s="191"/>
      <c r="H5" s="189" t="s">
        <v>233</v>
      </c>
      <c r="I5" s="190"/>
      <c r="J5" s="190"/>
      <c r="K5" s="190"/>
      <c r="L5" s="191"/>
      <c r="M5" s="189" t="s">
        <v>234</v>
      </c>
      <c r="N5" s="190"/>
      <c r="O5" s="190"/>
      <c r="P5" s="190"/>
      <c r="Q5" s="191"/>
      <c r="R5" s="189" t="s">
        <v>235</v>
      </c>
      <c r="S5" s="190"/>
      <c r="T5" s="190"/>
      <c r="U5" s="190"/>
      <c r="V5" s="191"/>
    </row>
    <row r="6" spans="1:22" ht="20.399999999999999" customHeight="1" thickTop="1" thickBot="1" x14ac:dyDescent="0.3">
      <c r="A6" s="147"/>
      <c r="B6" s="147"/>
      <c r="C6" s="192"/>
      <c r="D6" s="193"/>
      <c r="E6" s="193"/>
      <c r="F6" s="193"/>
      <c r="G6" s="194"/>
      <c r="H6" s="192"/>
      <c r="I6" s="193"/>
      <c r="J6" s="193"/>
      <c r="K6" s="193"/>
      <c r="L6" s="194"/>
      <c r="M6" s="192"/>
      <c r="N6" s="193"/>
      <c r="O6" s="193"/>
      <c r="P6" s="193"/>
      <c r="Q6" s="194"/>
      <c r="R6" s="192"/>
      <c r="S6" s="193"/>
      <c r="T6" s="193"/>
      <c r="U6" s="193"/>
      <c r="V6" s="194"/>
    </row>
    <row r="7" spans="1:22" ht="20.399999999999999" customHeight="1" thickTop="1" thickBot="1" x14ac:dyDescent="0.3">
      <c r="A7" s="147" t="s">
        <v>206</v>
      </c>
      <c r="B7" s="147" t="s">
        <v>207</v>
      </c>
      <c r="C7" s="189" t="s">
        <v>236</v>
      </c>
      <c r="D7" s="190"/>
      <c r="E7" s="190"/>
      <c r="F7" s="190"/>
      <c r="G7" s="191"/>
      <c r="H7" s="189" t="s">
        <v>321</v>
      </c>
      <c r="I7" s="190"/>
      <c r="J7" s="190"/>
      <c r="K7" s="190"/>
      <c r="L7" s="191"/>
      <c r="M7" s="189" t="s">
        <v>323</v>
      </c>
      <c r="N7" s="190"/>
      <c r="O7" s="190"/>
      <c r="P7" s="190"/>
      <c r="Q7" s="191"/>
      <c r="R7" s="189" t="s">
        <v>322</v>
      </c>
      <c r="S7" s="190"/>
      <c r="T7" s="190"/>
      <c r="U7" s="190"/>
      <c r="V7" s="191"/>
    </row>
    <row r="8" spans="1:22" ht="20.399999999999999" customHeight="1" thickTop="1" thickBot="1" x14ac:dyDescent="0.3">
      <c r="A8" s="147"/>
      <c r="B8" s="147"/>
      <c r="C8" s="192"/>
      <c r="D8" s="193"/>
      <c r="E8" s="193"/>
      <c r="F8" s="193"/>
      <c r="G8" s="194"/>
      <c r="H8" s="192"/>
      <c r="I8" s="193"/>
      <c r="J8" s="193"/>
      <c r="K8" s="193"/>
      <c r="L8" s="194"/>
      <c r="M8" s="192"/>
      <c r="N8" s="193"/>
      <c r="O8" s="193"/>
      <c r="P8" s="193"/>
      <c r="Q8" s="194"/>
      <c r="R8" s="192"/>
      <c r="S8" s="193"/>
      <c r="T8" s="193"/>
      <c r="U8" s="193"/>
      <c r="V8" s="194"/>
    </row>
    <row r="9" spans="1:22" ht="20.399999999999999" customHeight="1" thickTop="1" thickBot="1" x14ac:dyDescent="0.3">
      <c r="A9" s="147" t="s">
        <v>205</v>
      </c>
      <c r="B9" s="147" t="s">
        <v>207</v>
      </c>
      <c r="C9" s="189" t="s">
        <v>237</v>
      </c>
      <c r="D9" s="190"/>
      <c r="E9" s="190"/>
      <c r="F9" s="190"/>
      <c r="G9" s="191"/>
      <c r="H9" s="189" t="s">
        <v>238</v>
      </c>
      <c r="I9" s="190"/>
      <c r="J9" s="190"/>
      <c r="K9" s="190"/>
      <c r="L9" s="191"/>
      <c r="M9" s="189" t="s">
        <v>239</v>
      </c>
      <c r="N9" s="190"/>
      <c r="O9" s="190"/>
      <c r="P9" s="190"/>
      <c r="Q9" s="191"/>
      <c r="R9" s="189" t="s">
        <v>240</v>
      </c>
      <c r="S9" s="190"/>
      <c r="T9" s="190"/>
      <c r="U9" s="190"/>
      <c r="V9" s="191"/>
    </row>
    <row r="10" spans="1:22" ht="20.399999999999999" customHeight="1" thickTop="1" thickBot="1" x14ac:dyDescent="0.3">
      <c r="A10" s="147"/>
      <c r="B10" s="147"/>
      <c r="C10" s="192"/>
      <c r="D10" s="193"/>
      <c r="E10" s="193"/>
      <c r="F10" s="193"/>
      <c r="G10" s="194"/>
      <c r="H10" s="192"/>
      <c r="I10" s="193"/>
      <c r="J10" s="193"/>
      <c r="K10" s="193"/>
      <c r="L10" s="194"/>
      <c r="M10" s="192"/>
      <c r="N10" s="193"/>
      <c r="O10" s="193"/>
      <c r="P10" s="193"/>
      <c r="Q10" s="194"/>
      <c r="R10" s="192"/>
      <c r="S10" s="193"/>
      <c r="T10" s="193"/>
      <c r="U10" s="193"/>
      <c r="V10" s="194"/>
    </row>
    <row r="11" spans="1:22" ht="20.399999999999999" customHeight="1" thickTop="1" thickBot="1" x14ac:dyDescent="0.3">
      <c r="A11" s="147" t="s">
        <v>227</v>
      </c>
      <c r="B11" s="147" t="s">
        <v>207</v>
      </c>
      <c r="C11" s="189" t="s">
        <v>241</v>
      </c>
      <c r="D11" s="190"/>
      <c r="E11" s="190"/>
      <c r="F11" s="190"/>
      <c r="G11" s="191"/>
      <c r="H11" s="189" t="s">
        <v>242</v>
      </c>
      <c r="I11" s="190"/>
      <c r="J11" s="190"/>
      <c r="K11" s="190"/>
      <c r="L11" s="191"/>
      <c r="M11" s="189" t="s">
        <v>243</v>
      </c>
      <c r="N11" s="190"/>
      <c r="O11" s="190"/>
      <c r="P11" s="190"/>
      <c r="Q11" s="191"/>
      <c r="R11" s="189" t="s">
        <v>244</v>
      </c>
      <c r="S11" s="190"/>
      <c r="T11" s="190"/>
      <c r="U11" s="190"/>
      <c r="V11" s="191"/>
    </row>
    <row r="12" spans="1:22" ht="20.399999999999999" customHeight="1" thickTop="1" thickBot="1" x14ac:dyDescent="0.3">
      <c r="A12" s="147"/>
      <c r="B12" s="147"/>
      <c r="C12" s="192"/>
      <c r="D12" s="193"/>
      <c r="E12" s="193"/>
      <c r="F12" s="193"/>
      <c r="G12" s="194"/>
      <c r="H12" s="192"/>
      <c r="I12" s="193"/>
      <c r="J12" s="193"/>
      <c r="K12" s="193"/>
      <c r="L12" s="194"/>
      <c r="M12" s="192"/>
      <c r="N12" s="193"/>
      <c r="O12" s="193"/>
      <c r="P12" s="193"/>
      <c r="Q12" s="194"/>
      <c r="R12" s="192"/>
      <c r="S12" s="193"/>
      <c r="T12" s="193"/>
      <c r="U12" s="193"/>
      <c r="V12" s="194"/>
    </row>
    <row r="13" spans="1:22" ht="20.399999999999999" customHeight="1" thickTop="1" thickBot="1" x14ac:dyDescent="0.3">
      <c r="A13" s="188" t="s">
        <v>107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</row>
    <row r="14" spans="1:22" ht="20.399999999999999" customHeight="1" thickTop="1" thickBot="1" x14ac:dyDescent="0.3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70</v>
      </c>
      <c r="D15" s="164" t="s">
        <v>106</v>
      </c>
      <c r="E15" s="164"/>
      <c r="F15" s="164"/>
      <c r="G15" s="164"/>
      <c r="H15" s="25" t="s">
        <v>71</v>
      </c>
      <c r="I15" s="164" t="s">
        <v>73</v>
      </c>
      <c r="J15" s="164"/>
      <c r="K15" s="164"/>
      <c r="L15" s="25" t="s">
        <v>105</v>
      </c>
      <c r="M15" s="25" t="s">
        <v>72</v>
      </c>
    </row>
    <row r="16" spans="1:22" ht="20.399999999999999" customHeight="1" thickTop="1" thickBot="1" x14ac:dyDescent="0.3">
      <c r="A16" s="147" t="s">
        <v>152</v>
      </c>
      <c r="B16" s="147" t="s">
        <v>51</v>
      </c>
      <c r="C16" s="147">
        <f ca="1">LOOKUP(INDIRECT("rc[-1]",),INDIRECT("总表"&amp;"!A29:A34"),INDIRECT("总表"&amp;"!B29:B34"))</f>
        <v>50</v>
      </c>
      <c r="D16" s="145" t="s">
        <v>108</v>
      </c>
      <c r="E16" s="145"/>
      <c r="F16" s="145"/>
      <c r="G16" s="145"/>
      <c r="H16" s="147">
        <v>1</v>
      </c>
      <c r="I16" s="147">
        <v>0</v>
      </c>
      <c r="J16" s="147" t="s">
        <v>18</v>
      </c>
      <c r="K16" s="147" t="str">
        <f>IF(H16&lt;10,"6",IF(H16&lt;20,"9",IF(H16&lt;30,"12",18)))</f>
        <v>6</v>
      </c>
      <c r="L16" s="147">
        <v>5</v>
      </c>
      <c r="M16" s="182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47"/>
      <c r="B17" s="147"/>
      <c r="C17" s="147"/>
      <c r="D17" s="145"/>
      <c r="E17" s="145"/>
      <c r="F17" s="145"/>
      <c r="G17" s="145"/>
      <c r="H17" s="147"/>
      <c r="I17" s="147"/>
      <c r="J17" s="147"/>
      <c r="K17" s="147"/>
      <c r="L17" s="147"/>
      <c r="M17" s="182"/>
    </row>
    <row r="18" spans="1:13" ht="20.399999999999999" customHeight="1" thickTop="1" thickBot="1" x14ac:dyDescent="0.3">
      <c r="A18" s="147" t="s">
        <v>153</v>
      </c>
      <c r="B18" s="147" t="s">
        <v>51</v>
      </c>
      <c r="C18" s="147">
        <f t="shared" ref="C18" ca="1" si="0">LOOKUP(INDIRECT("rc[-1]",),INDIRECT("总表"&amp;"!A29:A34"),INDIRECT("总表"&amp;"!B29:B34"))</f>
        <v>50</v>
      </c>
      <c r="D18" s="145" t="s">
        <v>109</v>
      </c>
      <c r="E18" s="145"/>
      <c r="F18" s="145"/>
      <c r="G18" s="145"/>
      <c r="H18" s="147">
        <v>1</v>
      </c>
      <c r="I18" s="147">
        <v>0</v>
      </c>
      <c r="J18" s="147" t="s">
        <v>18</v>
      </c>
      <c r="K18" s="147" t="str">
        <f t="shared" ref="K18" si="1">IF(H18&lt;10,"6",IF(H18&lt;20,"9",IF(H18&lt;30,"12",18)))</f>
        <v>6</v>
      </c>
      <c r="L18" s="147">
        <v>10</v>
      </c>
      <c r="M18" s="182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47"/>
      <c r="B19" s="147"/>
      <c r="C19" s="147"/>
      <c r="D19" s="145"/>
      <c r="E19" s="145"/>
      <c r="F19" s="145"/>
      <c r="G19" s="145"/>
      <c r="H19" s="147"/>
      <c r="I19" s="147"/>
      <c r="J19" s="147"/>
      <c r="K19" s="147"/>
      <c r="L19" s="147"/>
      <c r="M19" s="182"/>
    </row>
    <row r="20" spans="1:13" ht="20.399999999999999" customHeight="1" thickTop="1" thickBot="1" x14ac:dyDescent="0.3">
      <c r="A20" s="147"/>
      <c r="B20" s="147" t="s">
        <v>51</v>
      </c>
      <c r="C20" s="147">
        <f t="shared" ref="C20" ca="1" si="2">LOOKUP(INDIRECT("rc[-1]",),INDIRECT("总表"&amp;"!A29:A34"),INDIRECT("总表"&amp;"!B29:B34"))</f>
        <v>50</v>
      </c>
      <c r="D20" s="145"/>
      <c r="E20" s="145"/>
      <c r="F20" s="145"/>
      <c r="G20" s="145"/>
      <c r="H20" s="147">
        <v>1</v>
      </c>
      <c r="I20" s="147">
        <v>0</v>
      </c>
      <c r="J20" s="147" t="s">
        <v>18</v>
      </c>
      <c r="K20" s="147" t="str">
        <f t="shared" ref="K20" si="3">IF(H20&lt;10,"6",IF(H20&lt;20,"9",IF(H20&lt;30,"12",18)))</f>
        <v>6</v>
      </c>
      <c r="L20" s="147"/>
      <c r="M20" s="147"/>
    </row>
    <row r="21" spans="1:13" ht="20.399999999999999" customHeight="1" thickTop="1" thickBot="1" x14ac:dyDescent="0.3">
      <c r="A21" s="147"/>
      <c r="B21" s="147"/>
      <c r="C21" s="147"/>
      <c r="D21" s="145"/>
      <c r="E21" s="145"/>
      <c r="F21" s="145"/>
      <c r="G21" s="145"/>
      <c r="H21" s="147"/>
      <c r="I21" s="147"/>
      <c r="J21" s="147"/>
      <c r="K21" s="147"/>
      <c r="L21" s="147"/>
      <c r="M21" s="147"/>
    </row>
    <row r="22" spans="1:13" ht="20.399999999999999" customHeight="1" thickTop="1" thickBot="1" x14ac:dyDescent="0.3">
      <c r="A22" s="147"/>
      <c r="B22" s="147" t="s">
        <v>51</v>
      </c>
      <c r="C22" s="147">
        <f t="shared" ref="C22" ca="1" si="4">LOOKUP(INDIRECT("rc[-1]",),INDIRECT("总表"&amp;"!A29:A34"),INDIRECT("总表"&amp;"!B29:B34"))</f>
        <v>50</v>
      </c>
      <c r="D22" s="145"/>
      <c r="E22" s="145"/>
      <c r="F22" s="145"/>
      <c r="G22" s="145"/>
      <c r="H22" s="147">
        <v>1</v>
      </c>
      <c r="I22" s="147">
        <v>0</v>
      </c>
      <c r="J22" s="147" t="s">
        <v>18</v>
      </c>
      <c r="K22" s="147" t="str">
        <f t="shared" ref="K22" si="5">IF(H22&lt;10,"6",IF(H22&lt;20,"9",IF(H22&lt;30,"12",18)))</f>
        <v>6</v>
      </c>
      <c r="L22" s="147"/>
      <c r="M22" s="147"/>
    </row>
    <row r="23" spans="1:13" ht="20.399999999999999" customHeight="1" thickTop="1" thickBot="1" x14ac:dyDescent="0.3">
      <c r="A23" s="147"/>
      <c r="B23" s="147"/>
      <c r="C23" s="147"/>
      <c r="D23" s="145"/>
      <c r="E23" s="145"/>
      <c r="F23" s="145"/>
      <c r="G23" s="145"/>
      <c r="H23" s="147"/>
      <c r="I23" s="147"/>
      <c r="J23" s="147"/>
      <c r="K23" s="147"/>
      <c r="L23" s="147"/>
      <c r="M23" s="147"/>
    </row>
    <row r="24" spans="1:13" ht="20.399999999999999" customHeight="1" thickTop="1" thickBot="1" x14ac:dyDescent="0.3">
      <c r="A24" s="147"/>
      <c r="B24" s="147" t="s">
        <v>51</v>
      </c>
      <c r="C24" s="147">
        <f t="shared" ref="C24" ca="1" si="6">LOOKUP(INDIRECT("rc[-1]",),INDIRECT("总表"&amp;"!A29:A34"),INDIRECT("总表"&amp;"!B29:B34"))</f>
        <v>50</v>
      </c>
      <c r="D24" s="145"/>
      <c r="E24" s="145"/>
      <c r="F24" s="145"/>
      <c r="G24" s="145"/>
      <c r="H24" s="147">
        <v>1</v>
      </c>
      <c r="I24" s="147">
        <v>0</v>
      </c>
      <c r="J24" s="147" t="s">
        <v>18</v>
      </c>
      <c r="K24" s="147" t="str">
        <f t="shared" ref="K24" si="7">IF(H24&lt;10,"6",IF(H24&lt;20,"9",IF(H24&lt;30,"12",18)))</f>
        <v>6</v>
      </c>
      <c r="L24" s="147"/>
      <c r="M24" s="147"/>
    </row>
    <row r="25" spans="1:13" ht="20.399999999999999" customHeight="1" thickTop="1" thickBot="1" x14ac:dyDescent="0.3">
      <c r="A25" s="147"/>
      <c r="B25" s="147"/>
      <c r="C25" s="147"/>
      <c r="D25" s="145"/>
      <c r="E25" s="145"/>
      <c r="F25" s="145"/>
      <c r="G25" s="145"/>
      <c r="H25" s="147"/>
      <c r="I25" s="147"/>
      <c r="J25" s="147"/>
      <c r="K25" s="147"/>
      <c r="L25" s="147"/>
      <c r="M25" s="147"/>
    </row>
    <row r="26" spans="1:13" ht="20.399999999999999" customHeight="1" thickTop="1" thickBot="1" x14ac:dyDescent="0.3">
      <c r="A26" s="147"/>
      <c r="B26" s="147" t="s">
        <v>51</v>
      </c>
      <c r="C26" s="147">
        <f t="shared" ref="C26" ca="1" si="8">LOOKUP(INDIRECT("rc[-1]",),INDIRECT("总表"&amp;"!A29:A34"),INDIRECT("总表"&amp;"!B29:B34"))</f>
        <v>50</v>
      </c>
      <c r="D26" s="145"/>
      <c r="E26" s="145"/>
      <c r="F26" s="145"/>
      <c r="G26" s="145"/>
      <c r="H26" s="147">
        <v>1</v>
      </c>
      <c r="I26" s="147">
        <v>0</v>
      </c>
      <c r="J26" s="147" t="s">
        <v>18</v>
      </c>
      <c r="K26" s="147" t="str">
        <f t="shared" ref="K26" si="9">IF(H26&lt;10,"6",IF(H26&lt;20,"9",IF(H26&lt;30,"12",18)))</f>
        <v>6</v>
      </c>
      <c r="L26" s="147"/>
      <c r="M26" s="147"/>
    </row>
    <row r="27" spans="1:13" ht="20.399999999999999" customHeight="1" thickTop="1" thickBot="1" x14ac:dyDescent="0.3">
      <c r="A27" s="147"/>
      <c r="B27" s="147"/>
      <c r="C27" s="147"/>
      <c r="D27" s="145"/>
      <c r="E27" s="145"/>
      <c r="F27" s="145"/>
      <c r="G27" s="145"/>
      <c r="H27" s="147"/>
      <c r="I27" s="147"/>
      <c r="J27" s="147"/>
      <c r="K27" s="147"/>
      <c r="L27" s="147"/>
      <c r="M27" s="147"/>
    </row>
    <row r="28" spans="1:13" ht="20.399999999999999" customHeight="1" thickTop="1" x14ac:dyDescent="0.25"/>
  </sheetData>
  <mergeCells count="94">
    <mergeCell ref="A26:A27"/>
    <mergeCell ref="B26:B27"/>
    <mergeCell ref="C26:C27"/>
    <mergeCell ref="D26:G27"/>
    <mergeCell ref="H26:H27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C20:C21"/>
    <mergeCell ref="D20:G21"/>
    <mergeCell ref="H20:H21"/>
    <mergeCell ref="I20:I21"/>
    <mergeCell ref="J20:J21"/>
    <mergeCell ref="C18:C19"/>
    <mergeCell ref="D18:G19"/>
    <mergeCell ref="H18:H19"/>
    <mergeCell ref="C16:C17"/>
    <mergeCell ref="D16:G17"/>
    <mergeCell ref="H16:H17"/>
    <mergeCell ref="A20:A21"/>
    <mergeCell ref="B20:B21"/>
    <mergeCell ref="A11:A12"/>
    <mergeCell ref="B11:B12"/>
    <mergeCell ref="A18:A19"/>
    <mergeCell ref="B18:B19"/>
    <mergeCell ref="A16:A17"/>
    <mergeCell ref="B16:B17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A1:G2"/>
    <mergeCell ref="A5:A6"/>
    <mergeCell ref="B5:B6"/>
    <mergeCell ref="A3:B3"/>
    <mergeCell ref="C3:G3"/>
    <mergeCell ref="C4:G4"/>
    <mergeCell ref="C5:G6"/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</mergeCells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377F1-96D3-4EEC-92F5-735FD96AC34F}">
  <dimension ref="A1:W55"/>
  <sheetViews>
    <sheetView workbookViewId="0">
      <selection activeCell="M12" sqref="M12:M13"/>
    </sheetView>
  </sheetViews>
  <sheetFormatPr defaultRowHeight="18" customHeight="1" x14ac:dyDescent="0.25"/>
  <cols>
    <col min="1" max="3" width="12.21875" customWidth="1"/>
    <col min="4" max="4" width="23.109375" customWidth="1"/>
    <col min="5" max="5" width="9.109375" customWidth="1"/>
  </cols>
  <sheetData>
    <row r="1" spans="1:23" ht="18" customHeight="1" thickTop="1" thickBot="1" x14ac:dyDescent="0.3">
      <c r="A1" s="196" t="s">
        <v>356</v>
      </c>
      <c r="B1" s="198" t="s">
        <v>357</v>
      </c>
      <c r="C1" s="200" t="s">
        <v>358</v>
      </c>
      <c r="D1" s="201"/>
      <c r="E1" s="55"/>
      <c r="F1" s="25" t="s">
        <v>36</v>
      </c>
      <c r="G1" s="25" t="s">
        <v>359</v>
      </c>
      <c r="H1" s="164" t="s">
        <v>106</v>
      </c>
      <c r="I1" s="164"/>
      <c r="J1" s="164"/>
      <c r="K1" s="164"/>
      <c r="L1" s="25" t="s">
        <v>71</v>
      </c>
      <c r="M1" s="164" t="s">
        <v>73</v>
      </c>
      <c r="N1" s="164"/>
      <c r="O1" s="164"/>
      <c r="P1" s="25" t="s">
        <v>105</v>
      </c>
      <c r="Q1" s="25" t="s">
        <v>72</v>
      </c>
      <c r="S1" s="204" t="s">
        <v>355</v>
      </c>
      <c r="T1" s="204"/>
      <c r="U1" s="145" t="str">
        <f ca="1">IF(B23&lt;2,"10",IF(B23&lt;30,"2000",IF(B23&lt;70,"2500",IF(B23&lt;110,"3000","3500"))))</f>
        <v>10</v>
      </c>
      <c r="V1" s="145"/>
      <c r="W1" s="145"/>
    </row>
    <row r="2" spans="1:23" ht="18" customHeight="1" thickTop="1" thickBot="1" x14ac:dyDescent="0.3">
      <c r="A2" s="197"/>
      <c r="B2" s="199"/>
      <c r="C2" s="202"/>
      <c r="D2" s="203"/>
      <c r="E2" s="55"/>
      <c r="F2" s="205"/>
      <c r="G2" s="205" t="s">
        <v>357</v>
      </c>
      <c r="H2" s="153"/>
      <c r="I2" s="154"/>
      <c r="J2" s="154"/>
      <c r="K2" s="155"/>
      <c r="L2" s="205">
        <v>1</v>
      </c>
      <c r="M2" s="205">
        <v>0</v>
      </c>
      <c r="N2" s="205" t="s">
        <v>18</v>
      </c>
      <c r="O2" s="147" t="str">
        <f>IF(L2&lt;10,"6",IF(L2&lt;20,"9",IF(L2&lt;30,"12",18)))</f>
        <v>6</v>
      </c>
      <c r="P2" s="205">
        <v>5</v>
      </c>
      <c r="Q2" s="182">
        <f ca="1">IF(SUM(INDIRECT("总表"&amp;"!K13"),L2)&lt;=50,SUM(INDIRECT("总表"&amp;"!K13"),L2),IF(SUM(INDIRECT("总表"&amp;"!K13"),L2)&lt;=80,(SUM(INDIRECT("总表"&amp;"!K13"),L2)-50)*0.7+50,(SUM(INDIRECT("总表"&amp;"!K13"),L2)-80)*0.4+71))</f>
        <v>31</v>
      </c>
      <c r="S2" s="204"/>
      <c r="T2" s="204"/>
      <c r="U2" s="145"/>
      <c r="V2" s="145"/>
      <c r="W2" s="145"/>
    </row>
    <row r="3" spans="1:23" ht="18" customHeight="1" thickTop="1" thickBot="1" x14ac:dyDescent="0.3">
      <c r="A3" s="56" t="s">
        <v>360</v>
      </c>
      <c r="B3" s="56" t="s">
        <v>112</v>
      </c>
      <c r="C3" s="56" t="s">
        <v>361</v>
      </c>
      <c r="D3" s="56" t="s">
        <v>362</v>
      </c>
      <c r="E3" s="57"/>
      <c r="F3" s="206"/>
      <c r="G3" s="206"/>
      <c r="H3" s="158"/>
      <c r="I3" s="159"/>
      <c r="J3" s="159"/>
      <c r="K3" s="160"/>
      <c r="L3" s="206"/>
      <c r="M3" s="206"/>
      <c r="N3" s="206"/>
      <c r="O3" s="147"/>
      <c r="P3" s="206"/>
      <c r="Q3" s="182"/>
      <c r="S3" s="204" t="s">
        <v>354</v>
      </c>
      <c r="T3" s="204"/>
      <c r="U3" s="145">
        <v>0</v>
      </c>
      <c r="V3" s="145"/>
      <c r="W3" s="145"/>
    </row>
    <row r="4" spans="1:23" ht="18" customHeight="1" thickTop="1" thickBot="1" x14ac:dyDescent="0.3">
      <c r="A4" s="216" t="s">
        <v>363</v>
      </c>
      <c r="B4" s="147">
        <f ca="1">IF(B1=A4,SUMIF(G:L,A4,L:L),SUMIF(G:L,A4,L:L)/2)</f>
        <v>1</v>
      </c>
      <c r="C4" s="205">
        <f ca="1">IF(B4&lt;15,1,IF(B4&lt;45,2,IF(B4&lt;105,3,IF(B4&lt;165,4,5))))</f>
        <v>1</v>
      </c>
      <c r="D4" s="145" t="str">
        <f ca="1">IF(B4&lt;15,"允许连发（n连发所消耗的行动力就是2n）",IF(B4&lt;45,"连发消耗行动力减半（n连发所消耗的行动力就是1+n）",IF(B4&lt;105,"连发消耗行动力减半（n连发所消耗的行动力就是1+n）,允许跨魔法连发",IF(B4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4" s="44"/>
      <c r="F4" s="205"/>
      <c r="G4" s="205" t="s">
        <v>364</v>
      </c>
      <c r="H4" s="153"/>
      <c r="I4" s="154"/>
      <c r="J4" s="154"/>
      <c r="K4" s="155"/>
      <c r="L4" s="205">
        <v>1</v>
      </c>
      <c r="M4" s="205">
        <v>0</v>
      </c>
      <c r="N4" s="205" t="s">
        <v>18</v>
      </c>
      <c r="O4" s="147" t="str">
        <f t="shared" ref="O4" si="0">IF(L4&lt;10,"6",IF(L4&lt;20,"9",IF(L4&lt;30,"12",18)))</f>
        <v>6</v>
      </c>
      <c r="P4" s="205">
        <v>5</v>
      </c>
      <c r="Q4" s="182">
        <f t="shared" ref="Q4" ca="1" si="1">IF(SUM(INDIRECT("总表"&amp;"!K13"),L4)&lt;=50,SUM(INDIRECT("总表"&amp;"!K13"),L4),IF(SUM(INDIRECT("总表"&amp;"!K13"),L4)&lt;=80,(SUM(INDIRECT("总表"&amp;"!K13"),L4)-50)*0.7+50,(SUM(INDIRECT("总表"&amp;"!K13"),L4)-80)*0.4+71))</f>
        <v>31</v>
      </c>
      <c r="S4" s="204"/>
      <c r="T4" s="204"/>
      <c r="U4" s="145"/>
      <c r="V4" s="145"/>
      <c r="W4" s="145"/>
    </row>
    <row r="5" spans="1:23" ht="18" customHeight="1" thickTop="1" thickBot="1" x14ac:dyDescent="0.3">
      <c r="A5" s="216"/>
      <c r="B5" s="147"/>
      <c r="C5" s="217"/>
      <c r="D5" s="145"/>
      <c r="E5" s="44"/>
      <c r="F5" s="206"/>
      <c r="G5" s="206"/>
      <c r="H5" s="158"/>
      <c r="I5" s="159"/>
      <c r="J5" s="159"/>
      <c r="K5" s="160"/>
      <c r="L5" s="206"/>
      <c r="M5" s="206"/>
      <c r="N5" s="206"/>
      <c r="O5" s="147"/>
      <c r="P5" s="206"/>
      <c r="Q5" s="182"/>
      <c r="S5" s="207" t="s">
        <v>116</v>
      </c>
      <c r="T5" s="208"/>
      <c r="U5" s="208"/>
      <c r="V5" s="208"/>
      <c r="W5" s="209"/>
    </row>
    <row r="6" spans="1:23" ht="18" customHeight="1" thickTop="1" thickBot="1" x14ac:dyDescent="0.3">
      <c r="A6" s="216"/>
      <c r="B6" s="147"/>
      <c r="C6" s="217"/>
      <c r="D6" s="145"/>
      <c r="E6" s="44"/>
      <c r="F6" s="205"/>
      <c r="G6" s="205" t="s">
        <v>365</v>
      </c>
      <c r="H6" s="153"/>
      <c r="I6" s="154"/>
      <c r="J6" s="154"/>
      <c r="K6" s="155"/>
      <c r="L6" s="205">
        <v>1</v>
      </c>
      <c r="M6" s="205">
        <v>0</v>
      </c>
      <c r="N6" s="205" t="s">
        <v>18</v>
      </c>
      <c r="O6" s="147" t="str">
        <f t="shared" ref="O6" si="2">IF(L6&lt;10,"6",IF(L6&lt;20,"9",IF(L6&lt;30,"12",18)))</f>
        <v>6</v>
      </c>
      <c r="P6" s="205">
        <v>5</v>
      </c>
      <c r="Q6" s="182">
        <f t="shared" ref="Q6" ca="1" si="3">IF(SUM(INDIRECT("总表"&amp;"!K13"),L6)&lt;=50,SUM(INDIRECT("总表"&amp;"!K13"),L6),IF(SUM(INDIRECT("总表"&amp;"!K13"),L6)&lt;=80,(SUM(INDIRECT("总表"&amp;"!K13"),L6)-50)*0.7+50,(SUM(INDIRECT("总表"&amp;"!K13"),L6)-80)*0.4+71))</f>
        <v>31</v>
      </c>
      <c r="S6" s="210"/>
      <c r="T6" s="211"/>
      <c r="U6" s="211"/>
      <c r="V6" s="211"/>
      <c r="W6" s="212"/>
    </row>
    <row r="7" spans="1:23" ht="18" customHeight="1" thickTop="1" thickBot="1" x14ac:dyDescent="0.3">
      <c r="A7" s="216"/>
      <c r="B7" s="147"/>
      <c r="C7" s="217"/>
      <c r="D7" s="145"/>
      <c r="E7" s="44"/>
      <c r="F7" s="206"/>
      <c r="G7" s="206"/>
      <c r="H7" s="158"/>
      <c r="I7" s="159"/>
      <c r="J7" s="159"/>
      <c r="K7" s="160"/>
      <c r="L7" s="206"/>
      <c r="M7" s="206"/>
      <c r="N7" s="206"/>
      <c r="O7" s="147"/>
      <c r="P7" s="206"/>
      <c r="Q7" s="182"/>
      <c r="S7" s="27" t="s">
        <v>36</v>
      </c>
      <c r="T7" s="27" t="s">
        <v>117</v>
      </c>
      <c r="U7" s="213" t="s">
        <v>38</v>
      </c>
      <c r="V7" s="214"/>
      <c r="W7" s="215"/>
    </row>
    <row r="8" spans="1:23" ht="18" customHeight="1" thickTop="1" thickBot="1" x14ac:dyDescent="0.3">
      <c r="A8" s="216"/>
      <c r="B8" s="147"/>
      <c r="C8" s="206"/>
      <c r="D8" s="145"/>
      <c r="E8" s="44"/>
      <c r="F8" s="205"/>
      <c r="G8" s="205" t="s">
        <v>366</v>
      </c>
      <c r="H8" s="153"/>
      <c r="I8" s="154"/>
      <c r="J8" s="154"/>
      <c r="K8" s="155"/>
      <c r="L8" s="205">
        <v>1</v>
      </c>
      <c r="M8" s="205">
        <v>0</v>
      </c>
      <c r="N8" s="205" t="s">
        <v>18</v>
      </c>
      <c r="O8" s="147" t="str">
        <f t="shared" ref="O8" si="4">IF(L8&lt;10,"6",IF(L8&lt;20,"9",IF(L8&lt;30,"12",18)))</f>
        <v>6</v>
      </c>
      <c r="P8" s="205">
        <v>5</v>
      </c>
      <c r="Q8" s="182">
        <f t="shared" ref="Q8" ca="1" si="5">IF(SUM(INDIRECT("总表"&amp;"!K13"),L8)&lt;=50,SUM(INDIRECT("总表"&amp;"!K13"),L8),IF(SUM(INDIRECT("总表"&amp;"!K13"),L8)&lt;=80,(SUM(INDIRECT("总表"&amp;"!K13"),L8)-50)*0.7+50,(SUM(INDIRECT("总表"&amp;"!K13"),L8)-80)*0.4+71))</f>
        <v>31</v>
      </c>
      <c r="S8" s="180"/>
      <c r="T8" s="180"/>
      <c r="U8" s="153"/>
      <c r="V8" s="154"/>
      <c r="W8" s="155"/>
    </row>
    <row r="9" spans="1:23" ht="18" customHeight="1" thickTop="1" thickBot="1" x14ac:dyDescent="0.3">
      <c r="A9" s="216" t="s">
        <v>113</v>
      </c>
      <c r="B9" s="147">
        <f ca="1">IF(B1=A9,SUMIF(G:L,A9,L:L),SUMIF(G:L,A9,L:L)/2)</f>
        <v>0.5</v>
      </c>
      <c r="C9" s="205">
        <f ca="1">IF(B9&lt;10,1,IF(B9&lt;30,2,IF(B9&lt;70,3,IF(B9&lt;110,4,5))))</f>
        <v>1</v>
      </c>
      <c r="D9" s="145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44"/>
      <c r="F9" s="206"/>
      <c r="G9" s="206"/>
      <c r="H9" s="158"/>
      <c r="I9" s="159"/>
      <c r="J9" s="159"/>
      <c r="K9" s="160"/>
      <c r="L9" s="206"/>
      <c r="M9" s="206"/>
      <c r="N9" s="206"/>
      <c r="O9" s="147"/>
      <c r="P9" s="206"/>
      <c r="Q9" s="182"/>
      <c r="S9" s="181"/>
      <c r="T9" s="181"/>
      <c r="U9" s="158"/>
      <c r="V9" s="159"/>
      <c r="W9" s="160"/>
    </row>
    <row r="10" spans="1:23" ht="18" customHeight="1" thickTop="1" thickBot="1" x14ac:dyDescent="0.3">
      <c r="A10" s="216"/>
      <c r="B10" s="147"/>
      <c r="C10" s="217"/>
      <c r="D10" s="145"/>
      <c r="E10" s="44"/>
      <c r="F10" s="205"/>
      <c r="G10" s="205"/>
      <c r="H10" s="153"/>
      <c r="I10" s="154"/>
      <c r="J10" s="154"/>
      <c r="K10" s="155"/>
      <c r="L10" s="205">
        <v>1</v>
      </c>
      <c r="M10" s="205">
        <v>0</v>
      </c>
      <c r="N10" s="205" t="s">
        <v>18</v>
      </c>
      <c r="O10" s="147" t="str">
        <f t="shared" ref="O10" si="6">IF(L10&lt;10,"6",IF(L10&lt;20,"9",IF(L10&lt;30,"12",18)))</f>
        <v>6</v>
      </c>
      <c r="P10" s="205">
        <v>5</v>
      </c>
      <c r="Q10" s="182">
        <f t="shared" ref="Q10" ca="1" si="7">IF(SUM(INDIRECT("总表"&amp;"!K13"),L10)&lt;=50,SUM(INDIRECT("总表"&amp;"!K13"),L10),IF(SUM(INDIRECT("总表"&amp;"!K13"),L10)&lt;=80,(SUM(INDIRECT("总表"&amp;"!K13"),L10)-50)*0.7+50,(SUM(INDIRECT("总表"&amp;"!K13"),L10)-80)*0.4+71))</f>
        <v>31</v>
      </c>
      <c r="S10" s="180"/>
      <c r="T10" s="180"/>
      <c r="U10" s="153"/>
      <c r="V10" s="154"/>
      <c r="W10" s="155"/>
    </row>
    <row r="11" spans="1:23" ht="18" customHeight="1" thickTop="1" thickBot="1" x14ac:dyDescent="0.3">
      <c r="A11" s="216"/>
      <c r="B11" s="147"/>
      <c r="C11" s="217"/>
      <c r="D11" s="145"/>
      <c r="E11" s="44"/>
      <c r="F11" s="206"/>
      <c r="G11" s="206"/>
      <c r="H11" s="158"/>
      <c r="I11" s="159"/>
      <c r="J11" s="159"/>
      <c r="K11" s="160"/>
      <c r="L11" s="206"/>
      <c r="M11" s="206"/>
      <c r="N11" s="206"/>
      <c r="O11" s="147"/>
      <c r="P11" s="206"/>
      <c r="Q11" s="182"/>
      <c r="S11" s="181"/>
      <c r="T11" s="181"/>
      <c r="U11" s="158"/>
      <c r="V11" s="159"/>
      <c r="W11" s="160"/>
    </row>
    <row r="12" spans="1:23" ht="18" customHeight="1" thickTop="1" thickBot="1" x14ac:dyDescent="0.3">
      <c r="A12" s="216"/>
      <c r="B12" s="147"/>
      <c r="C12" s="217"/>
      <c r="D12" s="145"/>
      <c r="E12" s="44"/>
      <c r="F12" s="205"/>
      <c r="G12" s="205"/>
      <c r="H12" s="153"/>
      <c r="I12" s="154"/>
      <c r="J12" s="154"/>
      <c r="K12" s="155"/>
      <c r="L12" s="205">
        <v>1</v>
      </c>
      <c r="M12" s="205">
        <v>0</v>
      </c>
      <c r="N12" s="205" t="s">
        <v>18</v>
      </c>
      <c r="O12" s="147" t="str">
        <f t="shared" ref="O12:O16" si="8">IF(L12&lt;10,"6",IF(L12&lt;20,"9",IF(L12&lt;30,"12",18)))</f>
        <v>6</v>
      </c>
      <c r="P12" s="205">
        <v>5</v>
      </c>
      <c r="Q12" s="182">
        <f t="shared" ref="Q12:Q16" ca="1" si="9">IF(SUM(INDIRECT("总表"&amp;"!K13"),L12)&lt;=50,SUM(INDIRECT("总表"&amp;"!K13"),L12),IF(SUM(INDIRECT("总表"&amp;"!K13"),L12)&lt;=80,(SUM(INDIRECT("总表"&amp;"!K13"),L12)-50)*0.7+50,(SUM(INDIRECT("总表"&amp;"!K13"),L12)-80)*0.4+71))</f>
        <v>31</v>
      </c>
      <c r="S12" s="180"/>
      <c r="T12" s="180"/>
      <c r="U12" s="153"/>
      <c r="V12" s="154"/>
      <c r="W12" s="155"/>
    </row>
    <row r="13" spans="1:23" ht="18" customHeight="1" thickTop="1" thickBot="1" x14ac:dyDescent="0.3">
      <c r="A13" s="216"/>
      <c r="B13" s="147"/>
      <c r="C13" s="206"/>
      <c r="D13" s="145"/>
      <c r="E13" s="44"/>
      <c r="F13" s="206"/>
      <c r="G13" s="206"/>
      <c r="H13" s="158"/>
      <c r="I13" s="159"/>
      <c r="J13" s="159"/>
      <c r="K13" s="160"/>
      <c r="L13" s="206"/>
      <c r="M13" s="206"/>
      <c r="N13" s="206"/>
      <c r="O13" s="147"/>
      <c r="P13" s="206"/>
      <c r="Q13" s="182"/>
      <c r="S13" s="181"/>
      <c r="T13" s="181"/>
      <c r="U13" s="158"/>
      <c r="V13" s="159"/>
      <c r="W13" s="160"/>
    </row>
    <row r="14" spans="1:23" ht="18" customHeight="1" thickTop="1" thickBot="1" x14ac:dyDescent="0.3">
      <c r="A14" s="205" t="s">
        <v>118</v>
      </c>
      <c r="B14" s="220">
        <f ca="1">AVERAGE(INDIRECT("总表"&amp;"!K3"),INDIRECT("总表"&amp;"!K5"),INDIRECT("总表"&amp;"!K7"),INDIRECT("总表"&amp;"!K9"),INDIRECT("总表"&amp;"!K11"))/10</f>
        <v>4.2</v>
      </c>
      <c r="C14" s="221"/>
      <c r="D14" s="222"/>
      <c r="E14" s="44"/>
      <c r="F14" s="205"/>
      <c r="G14" s="205"/>
      <c r="H14" s="153"/>
      <c r="I14" s="154"/>
      <c r="J14" s="154"/>
      <c r="K14" s="155"/>
      <c r="L14" s="205">
        <v>1</v>
      </c>
      <c r="M14" s="205">
        <v>0</v>
      </c>
      <c r="N14" s="205" t="s">
        <v>18</v>
      </c>
      <c r="O14" s="147" t="str">
        <f t="shared" si="8"/>
        <v>6</v>
      </c>
      <c r="P14" s="205">
        <v>5</v>
      </c>
      <c r="Q14" s="182">
        <f t="shared" ca="1" si="9"/>
        <v>31</v>
      </c>
      <c r="S14" s="180"/>
      <c r="T14" s="180"/>
      <c r="U14" s="153"/>
      <c r="V14" s="154"/>
      <c r="W14" s="155"/>
    </row>
    <row r="15" spans="1:23" ht="18" customHeight="1" thickTop="1" thickBot="1" x14ac:dyDescent="0.3">
      <c r="A15" s="206"/>
      <c r="B15" s="223"/>
      <c r="C15" s="224"/>
      <c r="D15" s="225"/>
      <c r="E15" s="44"/>
      <c r="F15" s="206"/>
      <c r="G15" s="206"/>
      <c r="H15" s="158"/>
      <c r="I15" s="159"/>
      <c r="J15" s="159"/>
      <c r="K15" s="160"/>
      <c r="L15" s="206"/>
      <c r="M15" s="206"/>
      <c r="N15" s="206"/>
      <c r="O15" s="147"/>
      <c r="P15" s="206"/>
      <c r="Q15" s="182"/>
      <c r="S15" s="181"/>
      <c r="T15" s="181"/>
      <c r="U15" s="158"/>
      <c r="V15" s="159"/>
      <c r="W15" s="160"/>
    </row>
    <row r="16" spans="1:23" ht="18" customHeight="1" thickTop="1" thickBot="1" x14ac:dyDescent="0.3">
      <c r="A16" s="205" t="s">
        <v>367</v>
      </c>
      <c r="B16" s="141" t="str">
        <f ca="1">IF(B9&lt;10,"不允许",IF(B9&lt;30,"允许免费获得一重过载",IF(B9&lt;70,"允许免费获得一重过载",IF(B9&lt;110,"允许免费获得二重过载","允许免费获得二重过载"))))</f>
        <v>不允许</v>
      </c>
      <c r="C16" s="218"/>
      <c r="D16" s="142"/>
      <c r="E16" s="44"/>
      <c r="F16" s="205"/>
      <c r="G16" s="205"/>
      <c r="H16" s="153"/>
      <c r="I16" s="154"/>
      <c r="J16" s="154"/>
      <c r="K16" s="155"/>
      <c r="L16" s="205">
        <v>1</v>
      </c>
      <c r="M16" s="205">
        <v>0</v>
      </c>
      <c r="N16" s="205" t="s">
        <v>18</v>
      </c>
      <c r="O16" s="147" t="str">
        <f t="shared" si="8"/>
        <v>6</v>
      </c>
      <c r="P16" s="205">
        <v>5</v>
      </c>
      <c r="Q16" s="182">
        <f t="shared" ca="1" si="9"/>
        <v>31</v>
      </c>
      <c r="S16" s="180"/>
      <c r="T16" s="180"/>
      <c r="U16" s="153"/>
      <c r="V16" s="154"/>
      <c r="W16" s="155"/>
    </row>
    <row r="17" spans="1:23" ht="18" customHeight="1" thickTop="1" thickBot="1" x14ac:dyDescent="0.3">
      <c r="A17" s="206"/>
      <c r="B17" s="143"/>
      <c r="C17" s="219"/>
      <c r="D17" s="144"/>
      <c r="E17" s="44"/>
      <c r="F17" s="206"/>
      <c r="G17" s="206"/>
      <c r="H17" s="158"/>
      <c r="I17" s="159"/>
      <c r="J17" s="159"/>
      <c r="K17" s="160"/>
      <c r="L17" s="206"/>
      <c r="M17" s="206"/>
      <c r="N17" s="206"/>
      <c r="O17" s="147"/>
      <c r="P17" s="206"/>
      <c r="Q17" s="182"/>
      <c r="S17" s="181"/>
      <c r="T17" s="181"/>
      <c r="U17" s="158"/>
      <c r="V17" s="159"/>
      <c r="W17" s="160"/>
    </row>
    <row r="18" spans="1:23" ht="18" customHeight="1" thickTop="1" thickBot="1" x14ac:dyDescent="0.3">
      <c r="A18" s="216" t="s">
        <v>115</v>
      </c>
      <c r="B18" s="147">
        <f ca="1">IF(B1=A18,SUMIF(G:L,A18,L:L),SUMIF(G:L,A18,L:L)/2)</f>
        <v>0.5</v>
      </c>
      <c r="C18" s="205">
        <f ca="1">IF(B18&lt;10,1,IF(B18&lt;30,2,IF(B18&lt;70,3,IF(B18&lt;110,4,5))))</f>
        <v>1</v>
      </c>
      <c r="D18" s="145" t="str">
        <f ca="1">IF(B18&lt;10,"无",IF(B18&lt;30,"第二个及第二个以上的魔法效果只消耗1行动点",IF(B18&lt;70,"第二个及第二个以上的魔法效果只消耗1行动点、所有魔法效果消耗SP减半",IF(B18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8" s="44"/>
      <c r="F18" s="205"/>
      <c r="G18" s="205"/>
      <c r="H18" s="153"/>
      <c r="I18" s="154"/>
      <c r="J18" s="154"/>
      <c r="K18" s="155"/>
      <c r="L18" s="205">
        <v>1</v>
      </c>
      <c r="M18" s="205">
        <v>0</v>
      </c>
      <c r="N18" s="205" t="s">
        <v>18</v>
      </c>
      <c r="O18" s="147" t="str">
        <f t="shared" ref="O18" si="10">IF(L18&lt;10,"6",IF(L18&lt;20,"9",IF(L18&lt;30,"12",18)))</f>
        <v>6</v>
      </c>
      <c r="P18" s="205">
        <v>5</v>
      </c>
      <c r="Q18" s="182">
        <f t="shared" ref="Q18" ca="1" si="11">IF(SUM(INDIRECT("总表"&amp;"!K13"),L18)&lt;=50,SUM(INDIRECT("总表"&amp;"!K13"),L18),IF(SUM(INDIRECT("总表"&amp;"!K13"),L18)&lt;=80,(SUM(INDIRECT("总表"&amp;"!K13"),L18)-50)*0.7+50,(SUM(INDIRECT("总表"&amp;"!K13"),L18)-80)*0.4+71))</f>
        <v>31</v>
      </c>
      <c r="S18" s="180"/>
      <c r="T18" s="180"/>
      <c r="U18" s="153"/>
      <c r="V18" s="154"/>
      <c r="W18" s="155"/>
    </row>
    <row r="19" spans="1:23" ht="18" customHeight="1" thickTop="1" thickBot="1" x14ac:dyDescent="0.3">
      <c r="A19" s="216"/>
      <c r="B19" s="147"/>
      <c r="C19" s="217"/>
      <c r="D19" s="145"/>
      <c r="E19" s="44"/>
      <c r="F19" s="206"/>
      <c r="G19" s="206"/>
      <c r="H19" s="158"/>
      <c r="I19" s="159"/>
      <c r="J19" s="159"/>
      <c r="K19" s="160"/>
      <c r="L19" s="206"/>
      <c r="M19" s="206"/>
      <c r="N19" s="206"/>
      <c r="O19" s="147"/>
      <c r="P19" s="206"/>
      <c r="Q19" s="182"/>
      <c r="S19" s="181"/>
      <c r="T19" s="181"/>
      <c r="U19" s="158"/>
      <c r="V19" s="159"/>
      <c r="W19" s="160"/>
    </row>
    <row r="20" spans="1:23" ht="18" customHeight="1" thickTop="1" thickBot="1" x14ac:dyDescent="0.3">
      <c r="A20" s="216"/>
      <c r="B20" s="147"/>
      <c r="C20" s="217"/>
      <c r="D20" s="145"/>
      <c r="E20" s="44"/>
      <c r="F20" s="205"/>
      <c r="G20" s="205"/>
      <c r="H20" s="153"/>
      <c r="I20" s="154"/>
      <c r="J20" s="154"/>
      <c r="K20" s="155"/>
      <c r="L20" s="205">
        <v>1</v>
      </c>
      <c r="M20" s="205">
        <v>0</v>
      </c>
      <c r="N20" s="205" t="s">
        <v>18</v>
      </c>
      <c r="O20" s="147" t="str">
        <f t="shared" ref="O20" si="12">IF(L20&lt;10,"6",IF(L20&lt;20,"9",IF(L20&lt;30,"12",18)))</f>
        <v>6</v>
      </c>
      <c r="P20" s="205">
        <v>5</v>
      </c>
      <c r="Q20" s="182">
        <f t="shared" ref="Q20" ca="1" si="13">IF(SUM(INDIRECT("总表"&amp;"!K13"),L20)&lt;=50,SUM(INDIRECT("总表"&amp;"!K13"),L20),IF(SUM(INDIRECT("总表"&amp;"!K13"),L20)&lt;=80,(SUM(INDIRECT("总表"&amp;"!K13"),L20)-50)*0.7+50,(SUM(INDIRECT("总表"&amp;"!K13"),L20)-80)*0.4+71))</f>
        <v>31</v>
      </c>
      <c r="S20" s="180"/>
      <c r="T20" s="180"/>
      <c r="U20" s="153"/>
      <c r="V20" s="154"/>
      <c r="W20" s="155"/>
    </row>
    <row r="21" spans="1:23" ht="18" customHeight="1" thickTop="1" thickBot="1" x14ac:dyDescent="0.3">
      <c r="A21" s="216"/>
      <c r="B21" s="147"/>
      <c r="C21" s="217"/>
      <c r="D21" s="145"/>
      <c r="E21" s="44"/>
      <c r="F21" s="206"/>
      <c r="G21" s="206"/>
      <c r="H21" s="158"/>
      <c r="I21" s="159"/>
      <c r="J21" s="159"/>
      <c r="K21" s="160"/>
      <c r="L21" s="206"/>
      <c r="M21" s="206"/>
      <c r="N21" s="206"/>
      <c r="O21" s="147"/>
      <c r="P21" s="206"/>
      <c r="Q21" s="182"/>
      <c r="S21" s="181"/>
      <c r="T21" s="181"/>
      <c r="U21" s="158"/>
      <c r="V21" s="159"/>
      <c r="W21" s="160"/>
    </row>
    <row r="22" spans="1:23" ht="18" customHeight="1" thickTop="1" thickBot="1" x14ac:dyDescent="0.3">
      <c r="A22" s="216"/>
      <c r="B22" s="147"/>
      <c r="C22" s="206"/>
      <c r="D22" s="145"/>
      <c r="E22" s="44"/>
      <c r="F22" s="205"/>
      <c r="G22" s="205"/>
      <c r="H22" s="153"/>
      <c r="I22" s="154"/>
      <c r="J22" s="154"/>
      <c r="K22" s="155"/>
      <c r="L22" s="205">
        <v>1</v>
      </c>
      <c r="M22" s="205">
        <v>0</v>
      </c>
      <c r="N22" s="205" t="s">
        <v>18</v>
      </c>
      <c r="O22" s="147" t="str">
        <f>IF(L22&lt;10,"6",IF(L22&lt;20,"9",IF(L22&lt;30,"12",18)))</f>
        <v>6</v>
      </c>
      <c r="P22" s="205">
        <v>5</v>
      </c>
      <c r="Q22" s="182">
        <f ca="1">IF(SUM(INDIRECT("总表"&amp;"!K13"),L22)&lt;=50,SUM(INDIRECT("总表"&amp;"!K13"),L22),IF(SUM(INDIRECT("总表"&amp;"!K13"),L22)&lt;=80,(SUM(INDIRECT("总表"&amp;"!K13"),L22)-50)*0.7+50,(SUM(INDIRECT("总表"&amp;"!K13"),L22)-80)*0.4+71))</f>
        <v>31</v>
      </c>
      <c r="S22" s="180"/>
      <c r="T22" s="180"/>
      <c r="U22" s="153"/>
      <c r="V22" s="154"/>
      <c r="W22" s="155"/>
    </row>
    <row r="23" spans="1:23" ht="18" customHeight="1" thickTop="1" thickBot="1" x14ac:dyDescent="0.3">
      <c r="A23" s="216" t="s">
        <v>353</v>
      </c>
      <c r="B23" s="147">
        <f ca="1">IF(B1=A23,SUMIF(G:L,A23,L:L),SUMIF(G:L,A23,L:L)/2)</f>
        <v>0.5</v>
      </c>
      <c r="C23" s="205">
        <f ca="1">IF(B23&lt;10,1,IF(B23&lt;30,2,IF(B23&lt;70,3,IF(B23&lt;110,4,5))))</f>
        <v>1</v>
      </c>
      <c r="D23" s="145" t="str">
        <f ca="1">IF(B23&lt;10,"回归指令、逼近指令",IF(B23&lt;30,"回归指令、逼近指令、借机指令、蹲伏指令",IF(B23&lt;70,"回归指令、逼近指令、借机指令、蹲伏指令、反击指令、加密指令",IF(B23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23" s="44"/>
      <c r="F23" s="206"/>
      <c r="G23" s="206"/>
      <c r="H23" s="158"/>
      <c r="I23" s="159"/>
      <c r="J23" s="159"/>
      <c r="K23" s="160"/>
      <c r="L23" s="206"/>
      <c r="M23" s="206"/>
      <c r="N23" s="206"/>
      <c r="O23" s="147"/>
      <c r="P23" s="206"/>
      <c r="Q23" s="182"/>
      <c r="S23" s="181"/>
      <c r="T23" s="181"/>
      <c r="U23" s="158"/>
      <c r="V23" s="159"/>
      <c r="W23" s="160"/>
    </row>
    <row r="24" spans="1:23" ht="18" customHeight="1" thickTop="1" thickBot="1" x14ac:dyDescent="0.3">
      <c r="A24" s="216"/>
      <c r="B24" s="147"/>
      <c r="C24" s="217"/>
      <c r="D24" s="145"/>
      <c r="E24" s="44"/>
      <c r="F24" s="205"/>
      <c r="G24" s="205"/>
      <c r="H24" s="153"/>
      <c r="I24" s="154"/>
      <c r="J24" s="154"/>
      <c r="K24" s="155"/>
      <c r="L24" s="205">
        <v>1</v>
      </c>
      <c r="M24" s="205">
        <v>0</v>
      </c>
      <c r="N24" s="205" t="s">
        <v>18</v>
      </c>
      <c r="O24" s="147" t="str">
        <f t="shared" ref="O24" si="14">IF(L24&lt;10,"6",IF(L24&lt;20,"9",IF(L24&lt;30,"12",18)))</f>
        <v>6</v>
      </c>
      <c r="P24" s="205">
        <v>5</v>
      </c>
      <c r="Q24" s="182">
        <f t="shared" ref="Q24" ca="1" si="15">IF(SUM(INDIRECT("总表"&amp;"!K13"),L24)&lt;=50,SUM(INDIRECT("总表"&amp;"!K13"),L24),IF(SUM(INDIRECT("总表"&amp;"!K13"),L24)&lt;=80,(SUM(INDIRECT("总表"&amp;"!K13"),L24)-50)*0.7+50,(SUM(INDIRECT("总表"&amp;"!K13"),L24)-80)*0.4+71))</f>
        <v>31</v>
      </c>
      <c r="S24" s="180"/>
      <c r="T24" s="180"/>
      <c r="U24" s="153"/>
      <c r="V24" s="154"/>
      <c r="W24" s="155"/>
    </row>
    <row r="25" spans="1:23" ht="18" customHeight="1" thickTop="1" thickBot="1" x14ac:dyDescent="0.3">
      <c r="A25" s="216"/>
      <c r="B25" s="147"/>
      <c r="C25" s="217"/>
      <c r="D25" s="145"/>
      <c r="E25" s="44"/>
      <c r="F25" s="206"/>
      <c r="G25" s="206"/>
      <c r="H25" s="158"/>
      <c r="I25" s="159"/>
      <c r="J25" s="159"/>
      <c r="K25" s="160"/>
      <c r="L25" s="206"/>
      <c r="M25" s="206"/>
      <c r="N25" s="206"/>
      <c r="O25" s="147"/>
      <c r="P25" s="206"/>
      <c r="Q25" s="182"/>
      <c r="S25" s="181"/>
      <c r="T25" s="181"/>
      <c r="U25" s="158"/>
      <c r="V25" s="159"/>
      <c r="W25" s="160"/>
    </row>
    <row r="26" spans="1:23" ht="18" customHeight="1" thickTop="1" thickBot="1" x14ac:dyDescent="0.3">
      <c r="A26" s="216"/>
      <c r="B26" s="147"/>
      <c r="C26" s="217"/>
      <c r="D26" s="145"/>
      <c r="E26" s="44"/>
      <c r="F26" s="205"/>
      <c r="G26" s="205"/>
      <c r="H26" s="153"/>
      <c r="I26" s="154"/>
      <c r="J26" s="154"/>
      <c r="K26" s="155"/>
      <c r="L26" s="205">
        <v>1</v>
      </c>
      <c r="M26" s="205">
        <v>0</v>
      </c>
      <c r="N26" s="205" t="s">
        <v>18</v>
      </c>
      <c r="O26" s="147" t="str">
        <f t="shared" ref="O26" si="16">IF(L26&lt;10,"6",IF(L26&lt;20,"9",IF(L26&lt;30,"12",18)))</f>
        <v>6</v>
      </c>
      <c r="P26" s="205">
        <v>5</v>
      </c>
      <c r="Q26" s="182">
        <f t="shared" ref="Q26" ca="1" si="17">IF(SUM(INDIRECT("总表"&amp;"!K13"),L26)&lt;=50,SUM(INDIRECT("总表"&amp;"!K13"),L26),IF(SUM(INDIRECT("总表"&amp;"!K13"),L26)&lt;=80,(SUM(INDIRECT("总表"&amp;"!K13"),L26)-50)*0.7+50,(SUM(INDIRECT("总表"&amp;"!K13"),L26)-80)*0.4+71))</f>
        <v>31</v>
      </c>
      <c r="S26" s="180"/>
      <c r="T26" s="180"/>
      <c r="U26" s="153"/>
      <c r="V26" s="154"/>
      <c r="W26" s="155"/>
    </row>
    <row r="27" spans="1:23" ht="18" customHeight="1" thickTop="1" thickBot="1" x14ac:dyDescent="0.3">
      <c r="A27" s="216"/>
      <c r="B27" s="147"/>
      <c r="C27" s="206"/>
      <c r="D27" s="145"/>
      <c r="E27" s="44"/>
      <c r="F27" s="206"/>
      <c r="G27" s="206"/>
      <c r="H27" s="158"/>
      <c r="I27" s="159"/>
      <c r="J27" s="159"/>
      <c r="K27" s="160"/>
      <c r="L27" s="206"/>
      <c r="M27" s="206"/>
      <c r="N27" s="206"/>
      <c r="O27" s="147"/>
      <c r="P27" s="206"/>
      <c r="Q27" s="182"/>
      <c r="S27" s="181"/>
      <c r="T27" s="181"/>
      <c r="U27" s="158"/>
      <c r="V27" s="159"/>
      <c r="W27" s="160"/>
    </row>
    <row r="28" spans="1:23" ht="18" customHeight="1" thickTop="1" x14ac:dyDescent="0.25"/>
    <row r="52" spans="1:1" ht="18" customHeight="1" x14ac:dyDescent="0.25">
      <c r="A52" t="s">
        <v>363</v>
      </c>
    </row>
    <row r="53" spans="1:1" ht="18" customHeight="1" x14ac:dyDescent="0.25">
      <c r="A53" t="s">
        <v>113</v>
      </c>
    </row>
    <row r="54" spans="1:1" ht="18" customHeight="1" x14ac:dyDescent="0.25">
      <c r="A54" t="s">
        <v>115</v>
      </c>
    </row>
    <row r="55" spans="1:1" ht="18" customHeight="1" x14ac:dyDescent="0.25">
      <c r="A55" t="s">
        <v>353</v>
      </c>
    </row>
  </sheetData>
  <mergeCells count="178">
    <mergeCell ref="P26:P27"/>
    <mergeCell ref="Q26:Q27"/>
    <mergeCell ref="S26:S27"/>
    <mergeCell ref="T26:T27"/>
    <mergeCell ref="U26:W27"/>
    <mergeCell ref="Q24:Q25"/>
    <mergeCell ref="S24:S25"/>
    <mergeCell ref="T24:T25"/>
    <mergeCell ref="U24:W25"/>
    <mergeCell ref="P24:P25"/>
    <mergeCell ref="H26:K27"/>
    <mergeCell ref="L26:L27"/>
    <mergeCell ref="M26:M27"/>
    <mergeCell ref="N26:N27"/>
    <mergeCell ref="H24:K25"/>
    <mergeCell ref="L24:L25"/>
    <mergeCell ref="M24:M25"/>
    <mergeCell ref="N24:N25"/>
    <mergeCell ref="O26:O27"/>
    <mergeCell ref="O24:O25"/>
    <mergeCell ref="Q22:Q23"/>
    <mergeCell ref="S22:S23"/>
    <mergeCell ref="T22:T23"/>
    <mergeCell ref="U22:W23"/>
    <mergeCell ref="A23:A27"/>
    <mergeCell ref="B23:B27"/>
    <mergeCell ref="C23:C27"/>
    <mergeCell ref="D23:D27"/>
    <mergeCell ref="F24:F25"/>
    <mergeCell ref="G24:G25"/>
    <mergeCell ref="H22:K23"/>
    <mergeCell ref="L22:L23"/>
    <mergeCell ref="M22:M23"/>
    <mergeCell ref="N22:N23"/>
    <mergeCell ref="O22:O23"/>
    <mergeCell ref="P22:P23"/>
    <mergeCell ref="A18:A22"/>
    <mergeCell ref="B18:B22"/>
    <mergeCell ref="C18:C22"/>
    <mergeCell ref="D18:D22"/>
    <mergeCell ref="F22:F23"/>
    <mergeCell ref="G22:G23"/>
    <mergeCell ref="F26:F27"/>
    <mergeCell ref="G26:G27"/>
    <mergeCell ref="O20:O21"/>
    <mergeCell ref="P20:P21"/>
    <mergeCell ref="Q20:Q21"/>
    <mergeCell ref="S20:S21"/>
    <mergeCell ref="T20:T21"/>
    <mergeCell ref="U20:W21"/>
    <mergeCell ref="Q18:Q19"/>
    <mergeCell ref="S18:S19"/>
    <mergeCell ref="T18:T19"/>
    <mergeCell ref="U18:W19"/>
    <mergeCell ref="O18:O19"/>
    <mergeCell ref="P18:P19"/>
    <mergeCell ref="F20:F21"/>
    <mergeCell ref="G20:G21"/>
    <mergeCell ref="H20:K21"/>
    <mergeCell ref="L20:L21"/>
    <mergeCell ref="M20:M21"/>
    <mergeCell ref="N20:N21"/>
    <mergeCell ref="H18:K19"/>
    <mergeCell ref="L18:L19"/>
    <mergeCell ref="M18:M19"/>
    <mergeCell ref="N18:N19"/>
    <mergeCell ref="F18:F19"/>
    <mergeCell ref="G18:G19"/>
    <mergeCell ref="O16:O17"/>
    <mergeCell ref="P16:P17"/>
    <mergeCell ref="Q16:Q17"/>
    <mergeCell ref="S16:S17"/>
    <mergeCell ref="T16:T17"/>
    <mergeCell ref="U16:W17"/>
    <mergeCell ref="T14:T15"/>
    <mergeCell ref="U14:W15"/>
    <mergeCell ref="A16:A17"/>
    <mergeCell ref="B16:D17"/>
    <mergeCell ref="F16:F17"/>
    <mergeCell ref="G16:G17"/>
    <mergeCell ref="H16:K17"/>
    <mergeCell ref="L16:L17"/>
    <mergeCell ref="M16:M17"/>
    <mergeCell ref="N16:N17"/>
    <mergeCell ref="M14:M15"/>
    <mergeCell ref="N14:N15"/>
    <mergeCell ref="O14:O15"/>
    <mergeCell ref="P14:P15"/>
    <mergeCell ref="Q14:Q15"/>
    <mergeCell ref="S14:S15"/>
    <mergeCell ref="A14:A15"/>
    <mergeCell ref="B14:D15"/>
    <mergeCell ref="F14:F15"/>
    <mergeCell ref="G14:G15"/>
    <mergeCell ref="H14:K15"/>
    <mergeCell ref="L14:L15"/>
    <mergeCell ref="O12:O13"/>
    <mergeCell ref="P12:P13"/>
    <mergeCell ref="Q12:Q13"/>
    <mergeCell ref="S12:S13"/>
    <mergeCell ref="T12:T13"/>
    <mergeCell ref="U12:W13"/>
    <mergeCell ref="Q10:Q11"/>
    <mergeCell ref="S10:S11"/>
    <mergeCell ref="T10:T11"/>
    <mergeCell ref="U10:W11"/>
    <mergeCell ref="F12:F13"/>
    <mergeCell ref="G12:G13"/>
    <mergeCell ref="H12:K13"/>
    <mergeCell ref="L12:L13"/>
    <mergeCell ref="M12:M13"/>
    <mergeCell ref="N12:N13"/>
    <mergeCell ref="H10:K11"/>
    <mergeCell ref="L10:L11"/>
    <mergeCell ref="M10:M11"/>
    <mergeCell ref="N10:N11"/>
    <mergeCell ref="O10:O11"/>
    <mergeCell ref="P10:P11"/>
    <mergeCell ref="A9:A13"/>
    <mergeCell ref="B9:B13"/>
    <mergeCell ref="C9:C13"/>
    <mergeCell ref="D9:D13"/>
    <mergeCell ref="F10:F11"/>
    <mergeCell ref="G10:G11"/>
    <mergeCell ref="O8:O9"/>
    <mergeCell ref="P8:P9"/>
    <mergeCell ref="Q8:Q9"/>
    <mergeCell ref="A4:A8"/>
    <mergeCell ref="B4:B8"/>
    <mergeCell ref="C4:C8"/>
    <mergeCell ref="D4:D8"/>
    <mergeCell ref="S8:S9"/>
    <mergeCell ref="T8:T9"/>
    <mergeCell ref="U8:W9"/>
    <mergeCell ref="F8:F9"/>
    <mergeCell ref="G8:G9"/>
    <mergeCell ref="H8:K9"/>
    <mergeCell ref="L8:L9"/>
    <mergeCell ref="M8:M9"/>
    <mergeCell ref="N8:N9"/>
    <mergeCell ref="F6:F7"/>
    <mergeCell ref="G6:G7"/>
    <mergeCell ref="H6:K7"/>
    <mergeCell ref="L6:L7"/>
    <mergeCell ref="M6:M7"/>
    <mergeCell ref="N6:N7"/>
    <mergeCell ref="M4:M5"/>
    <mergeCell ref="N4:N5"/>
    <mergeCell ref="O4:O5"/>
    <mergeCell ref="F4:F5"/>
    <mergeCell ref="G4:G5"/>
    <mergeCell ref="H4:K5"/>
    <mergeCell ref="L4:L5"/>
    <mergeCell ref="P4:P5"/>
    <mergeCell ref="Q4:Q5"/>
    <mergeCell ref="S5:W6"/>
    <mergeCell ref="O6:O7"/>
    <mergeCell ref="P6:P7"/>
    <mergeCell ref="Q6:Q7"/>
    <mergeCell ref="U7:W7"/>
    <mergeCell ref="S3:T4"/>
    <mergeCell ref="U3:W4"/>
    <mergeCell ref="A1:A2"/>
    <mergeCell ref="B1:B2"/>
    <mergeCell ref="C1:D2"/>
    <mergeCell ref="H1:K1"/>
    <mergeCell ref="M1:O1"/>
    <mergeCell ref="S1:T2"/>
    <mergeCell ref="U1:W2"/>
    <mergeCell ref="F2:F3"/>
    <mergeCell ref="G2:G3"/>
    <mergeCell ref="H2:K3"/>
    <mergeCell ref="L2:L3"/>
    <mergeCell ref="M2:M3"/>
    <mergeCell ref="N2:N3"/>
    <mergeCell ref="O2:O3"/>
    <mergeCell ref="P2:P3"/>
    <mergeCell ref="Q2:Q3"/>
  </mergeCells>
  <phoneticPr fontId="1" type="noConversion"/>
  <dataValidations count="1">
    <dataValidation type="list" allowBlank="1" showInputMessage="1" showErrorMessage="1" sqref="G2:G27 B1:B2" xr:uid="{6DD376AB-B137-44A5-80F5-FADC9C7FF7EF}">
      <formula1>$A$52:$A$55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F2F9-104B-408A-91A1-ADF66E0EE104}">
  <sheetPr codeName="Sheet9"/>
  <dimension ref="A1:U25"/>
  <sheetViews>
    <sheetView workbookViewId="0">
      <selection sqref="A1:P1"/>
    </sheetView>
  </sheetViews>
  <sheetFormatPr defaultColWidth="9.77734375" defaultRowHeight="20.399999999999999" customHeight="1" x14ac:dyDescent="0.25"/>
  <sheetData>
    <row r="1" spans="1:21" ht="20.399999999999999" customHeight="1" thickTop="1" thickBot="1" x14ac:dyDescent="0.4">
      <c r="A1" s="229" t="s">
        <v>251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R1" s="39"/>
      <c r="S1" s="39"/>
      <c r="T1" s="39"/>
      <c r="U1" s="39"/>
    </row>
    <row r="2" spans="1:21" ht="20.399999999999999" customHeight="1" thickTop="1" thickBot="1" x14ac:dyDescent="0.3">
      <c r="A2" s="58" t="s">
        <v>133</v>
      </c>
      <c r="B2" s="230" t="s">
        <v>134</v>
      </c>
      <c r="C2" s="230"/>
      <c r="D2" s="230"/>
      <c r="E2" s="58" t="s">
        <v>137</v>
      </c>
      <c r="F2" s="230">
        <v>7</v>
      </c>
      <c r="G2" s="230" t="s">
        <v>136</v>
      </c>
      <c r="H2" s="230" t="s">
        <v>161</v>
      </c>
      <c r="I2" s="58" t="s">
        <v>135</v>
      </c>
      <c r="J2" s="230" t="s">
        <v>162</v>
      </c>
      <c r="K2" s="230"/>
      <c r="L2" s="230"/>
      <c r="M2" s="59" t="s">
        <v>136</v>
      </c>
      <c r="N2" s="230" t="s">
        <v>161</v>
      </c>
      <c r="O2" s="230"/>
      <c r="P2" s="230"/>
      <c r="R2" s="39"/>
      <c r="S2" s="39"/>
      <c r="T2" s="39"/>
      <c r="U2" s="39"/>
    </row>
    <row r="3" spans="1:21" ht="20.399999999999999" customHeight="1" thickTop="1" thickBot="1" x14ac:dyDescent="0.3">
      <c r="A3" s="231" t="s">
        <v>252</v>
      </c>
      <c r="B3" s="230" t="s">
        <v>253</v>
      </c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R3" s="39"/>
      <c r="S3" s="39"/>
      <c r="T3" s="39"/>
      <c r="U3" s="39"/>
    </row>
    <row r="4" spans="1:21" ht="20.399999999999999" customHeight="1" thickTop="1" thickBot="1" x14ac:dyDescent="0.3">
      <c r="A4" s="231"/>
      <c r="B4" s="230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R4" s="39"/>
      <c r="S4" s="39"/>
      <c r="T4" s="39"/>
      <c r="U4" s="39"/>
    </row>
    <row r="5" spans="1:21" ht="20.399999999999999" customHeight="1" thickTop="1" thickBot="1" x14ac:dyDescent="0.3">
      <c r="A5" s="227" t="s">
        <v>369</v>
      </c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R5" s="39"/>
      <c r="S5" s="39"/>
      <c r="T5" s="39"/>
      <c r="U5" s="39"/>
    </row>
    <row r="6" spans="1:21" ht="20.399999999999999" customHeight="1" thickTop="1" thickBot="1" x14ac:dyDescent="0.3">
      <c r="A6" s="227"/>
      <c r="B6" s="227"/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R6" s="39"/>
      <c r="S6" s="39"/>
      <c r="T6" s="39"/>
      <c r="U6" s="39"/>
    </row>
    <row r="7" spans="1:21" ht="30" customHeight="1" thickTop="1" thickBot="1" x14ac:dyDescent="0.3">
      <c r="A7" s="60" t="s">
        <v>254</v>
      </c>
      <c r="B7" s="60" t="s">
        <v>255</v>
      </c>
      <c r="C7" s="228" t="s">
        <v>256</v>
      </c>
      <c r="D7" s="228"/>
      <c r="E7" s="228"/>
      <c r="F7" s="228"/>
      <c r="G7" s="228"/>
      <c r="H7" s="228" t="s">
        <v>257</v>
      </c>
      <c r="I7" s="228"/>
      <c r="J7" s="228"/>
      <c r="K7" s="228"/>
      <c r="L7" s="228"/>
      <c r="M7" s="228"/>
      <c r="N7" s="228"/>
      <c r="O7" s="228"/>
      <c r="P7" s="228"/>
      <c r="R7" s="39"/>
      <c r="S7" s="39"/>
      <c r="T7" s="39"/>
      <c r="U7" s="39"/>
    </row>
    <row r="8" spans="1:21" ht="48" customHeight="1" thickTop="1" thickBot="1" x14ac:dyDescent="0.3">
      <c r="A8" s="61" t="s">
        <v>110</v>
      </c>
      <c r="B8" s="61">
        <v>2</v>
      </c>
      <c r="C8" s="226" t="s">
        <v>262</v>
      </c>
      <c r="D8" s="226"/>
      <c r="E8" s="226"/>
      <c r="F8" s="226"/>
      <c r="G8" s="226"/>
      <c r="H8" s="226" t="s">
        <v>258</v>
      </c>
      <c r="I8" s="226"/>
      <c r="J8" s="226"/>
      <c r="K8" s="226"/>
      <c r="L8" s="226"/>
      <c r="M8" s="226"/>
      <c r="N8" s="226"/>
      <c r="O8" s="226"/>
      <c r="P8" s="226"/>
      <c r="R8" s="39"/>
      <c r="S8" s="39"/>
      <c r="T8" s="39"/>
      <c r="U8" s="39"/>
    </row>
    <row r="9" spans="1:21" ht="48" customHeight="1" thickTop="1" thickBot="1" x14ac:dyDescent="0.3">
      <c r="A9" s="61" t="s">
        <v>259</v>
      </c>
      <c r="B9" s="61">
        <v>5</v>
      </c>
      <c r="C9" s="226" t="s">
        <v>263</v>
      </c>
      <c r="D9" s="226"/>
      <c r="E9" s="226"/>
      <c r="F9" s="226"/>
      <c r="G9" s="226"/>
      <c r="H9" s="226" t="s">
        <v>261</v>
      </c>
      <c r="I9" s="226"/>
      <c r="J9" s="226"/>
      <c r="K9" s="226"/>
      <c r="L9" s="226"/>
      <c r="M9" s="226"/>
      <c r="N9" s="226"/>
      <c r="O9" s="226"/>
      <c r="P9" s="226"/>
      <c r="R9" s="39"/>
      <c r="S9" s="39"/>
      <c r="T9" s="39"/>
      <c r="U9" s="39"/>
    </row>
    <row r="10" spans="1:21" ht="48" customHeight="1" thickTop="1" thickBot="1" x14ac:dyDescent="0.3">
      <c r="A10" s="61" t="s">
        <v>260</v>
      </c>
      <c r="B10" s="61">
        <v>5</v>
      </c>
      <c r="C10" s="226" t="s">
        <v>264</v>
      </c>
      <c r="D10" s="226"/>
      <c r="E10" s="226"/>
      <c r="F10" s="226"/>
      <c r="G10" s="226"/>
      <c r="H10" s="226" t="s">
        <v>265</v>
      </c>
      <c r="I10" s="226"/>
      <c r="J10" s="226"/>
      <c r="K10" s="226"/>
      <c r="L10" s="226"/>
      <c r="M10" s="226"/>
      <c r="N10" s="226"/>
      <c r="O10" s="226"/>
      <c r="P10" s="226"/>
      <c r="R10" s="39"/>
      <c r="S10" s="39"/>
      <c r="T10" s="39"/>
      <c r="U10" s="39"/>
    </row>
    <row r="11" spans="1:21" ht="48" customHeight="1" thickTop="1" thickBot="1" x14ac:dyDescent="0.3">
      <c r="A11" s="61"/>
      <c r="B11" s="61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R11" s="39"/>
      <c r="S11" s="39"/>
      <c r="T11" s="39"/>
      <c r="U11" s="39"/>
    </row>
    <row r="12" spans="1:21" ht="48" customHeight="1" thickTop="1" thickBot="1" x14ac:dyDescent="0.3">
      <c r="A12" s="61"/>
      <c r="B12" s="61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R12" s="39"/>
      <c r="S12" s="39"/>
      <c r="T12" s="39"/>
      <c r="U12" s="39"/>
    </row>
    <row r="13" spans="1:21" ht="48" customHeight="1" thickTop="1" thickBot="1" x14ac:dyDescent="0.3">
      <c r="A13" s="61"/>
      <c r="B13" s="61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R13" s="39"/>
      <c r="S13" s="39"/>
      <c r="T13" s="39"/>
      <c r="U13" s="39"/>
    </row>
    <row r="14" spans="1:21" ht="48" customHeight="1" thickTop="1" thickBot="1" x14ac:dyDescent="0.3">
      <c r="A14" s="61"/>
      <c r="B14" s="61"/>
      <c r="C14" s="226"/>
      <c r="D14" s="226"/>
      <c r="E14" s="226"/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S14" s="39"/>
      <c r="T14" s="39"/>
      <c r="U14" s="39"/>
    </row>
    <row r="15" spans="1:21" ht="48" customHeight="1" thickTop="1" thickBot="1" x14ac:dyDescent="0.3">
      <c r="A15" s="61"/>
      <c r="B15" s="61"/>
      <c r="C15" s="226"/>
      <c r="D15" s="226"/>
      <c r="E15" s="226"/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S15" s="39"/>
      <c r="T15" s="39"/>
      <c r="U15" s="39"/>
    </row>
    <row r="16" spans="1:21" ht="48" customHeight="1" thickTop="1" thickBot="1" x14ac:dyDescent="0.3">
      <c r="A16" s="61"/>
      <c r="B16" s="61"/>
      <c r="C16" s="226"/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S16" s="39"/>
      <c r="T16" s="39"/>
      <c r="U16" s="39"/>
    </row>
    <row r="17" spans="1:21" ht="48" customHeight="1" thickTop="1" thickBot="1" x14ac:dyDescent="0.3">
      <c r="A17" s="61"/>
      <c r="B17" s="61"/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S17" s="39"/>
      <c r="T17" s="39"/>
      <c r="U17" s="39"/>
    </row>
    <row r="18" spans="1:21" ht="48" customHeight="1" thickTop="1" thickBot="1" x14ac:dyDescent="0.3">
      <c r="A18" s="61"/>
      <c r="B18" s="61"/>
      <c r="C18" s="226"/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6"/>
      <c r="O18" s="226"/>
      <c r="P18" s="226"/>
    </row>
    <row r="19" spans="1:21" ht="48" customHeight="1" thickTop="1" thickBot="1" x14ac:dyDescent="0.3">
      <c r="A19" s="61"/>
      <c r="B19" s="61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6"/>
      <c r="P19" s="226"/>
    </row>
    <row r="20" spans="1:21" ht="48" customHeight="1" thickTop="1" thickBot="1" x14ac:dyDescent="0.3">
      <c r="A20" s="61"/>
      <c r="B20" s="61"/>
      <c r="C20" s="226"/>
      <c r="D20" s="226"/>
      <c r="E20" s="226"/>
      <c r="F20" s="226"/>
      <c r="G20" s="226"/>
      <c r="H20" s="226"/>
      <c r="I20" s="226"/>
      <c r="J20" s="226"/>
      <c r="K20" s="226"/>
      <c r="L20" s="226"/>
      <c r="M20" s="226"/>
      <c r="N20" s="226"/>
      <c r="O20" s="226"/>
      <c r="P20" s="226"/>
    </row>
    <row r="21" spans="1:21" ht="48" customHeight="1" thickTop="1" thickBot="1" x14ac:dyDescent="0.3">
      <c r="A21" s="61"/>
      <c r="B21" s="61"/>
      <c r="C21" s="226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</row>
    <row r="22" spans="1:21" ht="48" customHeight="1" thickTop="1" thickBot="1" x14ac:dyDescent="0.3">
      <c r="A22" s="61"/>
      <c r="B22" s="61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  <c r="N22" s="226"/>
      <c r="O22" s="226"/>
      <c r="P22" s="226"/>
    </row>
    <row r="23" spans="1:21" ht="48" customHeight="1" thickTop="1" thickBot="1" x14ac:dyDescent="0.3">
      <c r="A23" s="61"/>
      <c r="B23" s="61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</row>
    <row r="24" spans="1:21" ht="48" customHeight="1" thickTop="1" thickBot="1" x14ac:dyDescent="0.3">
      <c r="A24" s="61"/>
      <c r="B24" s="61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6"/>
      <c r="O24" s="226"/>
      <c r="P24" s="226"/>
    </row>
    <row r="25" spans="1:21" ht="20.399999999999999" customHeight="1" thickTop="1" x14ac:dyDescent="0.25"/>
  </sheetData>
  <protectedRanges>
    <protectedRange sqref="H2 F2 B2:B4 N2 J2" name="角色基础信息区域"/>
  </protectedRanges>
  <mergeCells count="44">
    <mergeCell ref="C9:G9"/>
    <mergeCell ref="H9:P9"/>
    <mergeCell ref="A1:P1"/>
    <mergeCell ref="B2:D2"/>
    <mergeCell ref="F2:H2"/>
    <mergeCell ref="J2:L2"/>
    <mergeCell ref="N2:P2"/>
    <mergeCell ref="A3:A4"/>
    <mergeCell ref="B3:P4"/>
    <mergeCell ref="A5:P6"/>
    <mergeCell ref="C7:G7"/>
    <mergeCell ref="H7:P7"/>
    <mergeCell ref="C8:G8"/>
    <mergeCell ref="H8:P8"/>
    <mergeCell ref="C10:G10"/>
    <mergeCell ref="H10:P10"/>
    <mergeCell ref="C11:G11"/>
    <mergeCell ref="H11:P11"/>
    <mergeCell ref="C12:G12"/>
    <mergeCell ref="H12:P12"/>
    <mergeCell ref="C13:G13"/>
    <mergeCell ref="H13:P13"/>
    <mergeCell ref="C14:G14"/>
    <mergeCell ref="H14:P14"/>
    <mergeCell ref="C15:G15"/>
    <mergeCell ref="H15:P15"/>
    <mergeCell ref="C16:G16"/>
    <mergeCell ref="H16:P16"/>
    <mergeCell ref="C17:G17"/>
    <mergeCell ref="H17:P17"/>
    <mergeCell ref="C18:G18"/>
    <mergeCell ref="H18:P18"/>
    <mergeCell ref="C19:G19"/>
    <mergeCell ref="H19:P19"/>
    <mergeCell ref="C20:G20"/>
    <mergeCell ref="H20:P20"/>
    <mergeCell ref="C21:G21"/>
    <mergeCell ref="H21:P21"/>
    <mergeCell ref="C22:G22"/>
    <mergeCell ref="H22:P22"/>
    <mergeCell ref="C23:G23"/>
    <mergeCell ref="H23:P23"/>
    <mergeCell ref="C24:G24"/>
    <mergeCell ref="H24:P2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2024-02-22T13:37:17Z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