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Command&amp;Counquer Generals\拜龙密教\"/>
    </mc:Choice>
  </mc:AlternateContent>
  <xr:revisionPtr revIDLastSave="0" documentId="13_ncr:1_{7B59B534-F1A8-418E-A8EE-6748E8B759EA}" xr6:coauthVersionLast="47" xr6:coauthVersionMax="47" xr10:uidLastSave="{00000000-0000-0000-0000-000000000000}"/>
  <bookViews>
    <workbookView xWindow="-120" yWindow="-120" windowWidth="29040" windowHeight="15840" tabRatio="815" xr2:uid="{00000000-000D-0000-FFFF-FFFF00000000}"/>
  </bookViews>
  <sheets>
    <sheet name="坐骑" sheetId="20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8" i="20" l="1"/>
  <c r="H18" i="20"/>
  <c r="E18" i="20"/>
  <c r="M11" i="20" l="1"/>
  <c r="C11" i="20" l="1"/>
  <c r="E22" i="20" l="1"/>
  <c r="E23" i="20" s="1"/>
  <c r="E24" i="20" s="1"/>
  <c r="E25" i="20" s="1"/>
  <c r="E26" i="20" s="1"/>
  <c r="E27" i="20" s="1"/>
  <c r="H22" i="20"/>
  <c r="H23" i="20" s="1"/>
  <c r="H24" i="20" s="1"/>
  <c r="H25" i="20" s="1"/>
  <c r="H26" i="20" s="1"/>
  <c r="H27" i="20" s="1"/>
  <c r="B22" i="20"/>
  <c r="F14" i="20"/>
  <c r="B23" i="20" l="1"/>
  <c r="B24" i="20" s="1"/>
  <c r="B25" i="20" s="1"/>
  <c r="B26" i="20" s="1"/>
  <c r="B27" i="20" s="1"/>
  <c r="Q11" i="20"/>
  <c r="S11" i="20"/>
  <c r="I11" i="20"/>
  <c r="G14" i="20"/>
  <c r="G11" i="20"/>
  <c r="I14" i="20" l="1"/>
</calcChain>
</file>

<file path=xl/sharedStrings.xml><?xml version="1.0" encoding="utf-8"?>
<sst xmlns="http://schemas.openxmlformats.org/spreadsheetml/2006/main" count="93" uniqueCount="53">
  <si>
    <t>/</t>
    <phoneticPr fontId="1" type="noConversion"/>
  </si>
  <si>
    <t>基础</t>
    <phoneticPr fontId="1" type="noConversion"/>
  </si>
  <si>
    <t>额外</t>
    <phoneticPr fontId="1" type="noConversion"/>
  </si>
  <si>
    <t>总值</t>
    <phoneticPr fontId="1" type="noConversion"/>
  </si>
  <si>
    <t>武器威力</t>
    <phoneticPr fontId="1" type="noConversion"/>
  </si>
  <si>
    <t>攻击范围</t>
    <phoneticPr fontId="1" type="noConversion"/>
  </si>
  <si>
    <t>主武器</t>
    <phoneticPr fontId="1" type="noConversion"/>
  </si>
  <si>
    <t>名称</t>
    <phoneticPr fontId="1" type="noConversion"/>
  </si>
  <si>
    <t>特殊效果</t>
    <phoneticPr fontId="1" type="noConversion"/>
  </si>
  <si>
    <t>副武器</t>
    <phoneticPr fontId="1" type="noConversion"/>
  </si>
  <si>
    <t>护甲值</t>
    <phoneticPr fontId="1" type="noConversion"/>
  </si>
  <si>
    <t>无</t>
    <phoneticPr fontId="1" type="noConversion"/>
  </si>
  <si>
    <t>总阈值</t>
    <phoneticPr fontId="1" type="noConversion"/>
  </si>
  <si>
    <t>防御</t>
    <phoneticPr fontId="1" type="noConversion"/>
  </si>
  <si>
    <t>闪避</t>
    <phoneticPr fontId="1" type="noConversion"/>
  </si>
  <si>
    <t>额外生命</t>
    <phoneticPr fontId="1" type="noConversion"/>
  </si>
  <si>
    <t>敏捷+额外</t>
    <phoneticPr fontId="1" type="noConversion"/>
  </si>
  <si>
    <t>技能</t>
    <phoneticPr fontId="1" type="noConversion"/>
  </si>
  <si>
    <t>手动修正</t>
    <phoneticPr fontId="1" type="noConversion"/>
  </si>
  <si>
    <t>进攻阈值</t>
    <phoneticPr fontId="1" type="noConversion"/>
  </si>
  <si>
    <t>防御阈值</t>
    <phoneticPr fontId="1" type="noConversion"/>
  </si>
  <si>
    <t>闪避阈值</t>
    <phoneticPr fontId="1" type="noConversion"/>
  </si>
  <si>
    <t>衰减</t>
    <phoneticPr fontId="1" type="noConversion"/>
  </si>
  <si>
    <t>第1次</t>
    <phoneticPr fontId="1" type="noConversion"/>
  </si>
  <si>
    <t>第2次</t>
  </si>
  <si>
    <t>第2次</t>
    <phoneticPr fontId="1" type="noConversion"/>
  </si>
  <si>
    <t>第3次</t>
  </si>
  <si>
    <t>第4次</t>
  </si>
  <si>
    <t>第5次</t>
  </si>
  <si>
    <t>第6次</t>
  </si>
  <si>
    <t>坐骑防具额外生命值</t>
    <phoneticPr fontId="1" type="noConversion"/>
  </si>
  <si>
    <t>小型深渊龙</t>
    <phoneticPr fontId="1" type="noConversion"/>
  </si>
  <si>
    <t>全属性</t>
    <phoneticPr fontId="1" type="noConversion"/>
  </si>
  <si>
    <r>
      <rPr>
        <b/>
        <sz val="12"/>
        <color theme="0"/>
        <rFont val="Microsoft YaHei UI"/>
        <family val="4"/>
        <charset val="134"/>
      </rPr>
      <t>召唤物</t>
    </r>
    <r>
      <rPr>
        <b/>
        <sz val="12"/>
        <color theme="0"/>
        <rFont val="方正准圆_GBK"/>
        <family val="4"/>
        <charset val="134"/>
      </rPr>
      <t>体力（HP）</t>
    </r>
    <phoneticPr fontId="1" type="noConversion"/>
  </si>
  <si>
    <r>
      <rPr>
        <b/>
        <sz val="12"/>
        <color theme="0"/>
        <rFont val="Microsoft YaHei UI"/>
        <family val="4"/>
        <charset val="134"/>
      </rPr>
      <t>召唤物</t>
    </r>
    <r>
      <rPr>
        <b/>
        <sz val="12"/>
        <color theme="0"/>
        <rFont val="方正准圆_GBK"/>
        <family val="4"/>
        <charset val="134"/>
      </rPr>
      <t>行动点（AP）</t>
    </r>
    <phoneticPr fontId="1" type="noConversion"/>
  </si>
  <si>
    <r>
      <rPr>
        <b/>
        <sz val="12"/>
        <color theme="1"/>
        <rFont val="Microsoft YaHei UI"/>
        <family val="4"/>
        <charset val="134"/>
      </rPr>
      <t>召唤物</t>
    </r>
    <r>
      <rPr>
        <b/>
        <sz val="12"/>
        <color theme="1"/>
        <rFont val="方正准圆_GBK"/>
        <family val="4"/>
        <charset val="134"/>
      </rPr>
      <t>基础行动点</t>
    </r>
    <phoneticPr fontId="1" type="noConversion"/>
  </si>
  <si>
    <t>龙鳞</t>
    <phoneticPr fontId="1" type="noConversion"/>
  </si>
  <si>
    <t>熟练技能（+10）</t>
    <phoneticPr fontId="1" type="noConversion"/>
  </si>
  <si>
    <t>熟练技能（+20）</t>
    <phoneticPr fontId="1" type="noConversion"/>
  </si>
  <si>
    <t>龙爪</t>
    <phoneticPr fontId="1" type="noConversion"/>
  </si>
  <si>
    <t>深渊焰</t>
    <phoneticPr fontId="1" type="noConversion"/>
  </si>
  <si>
    <t>3~5</t>
    <phoneticPr fontId="1" type="noConversion"/>
  </si>
  <si>
    <t>龙爪/深渊焰</t>
    <phoneticPr fontId="1" type="noConversion"/>
  </si>
  <si>
    <t>关于小型深渊龙，你应该知道的：</t>
    <phoneticPr fontId="1" type="noConversion"/>
  </si>
  <si>
    <t>减伤</t>
    <phoneticPr fontId="1" type="noConversion"/>
  </si>
  <si>
    <t xml:space="preserve">1.小型深渊龙全属性保底35，召唤时每多消耗一份“深渊的嗤笑”可以让全属性+3，每多消耗一具尸体可以让全属性+10
此外，小型深渊龙的属性每比35高5，便能令所有武器、护甲等级+1
2.召唤者每有一项泛用技能达到15级以上，小型深渊龙的该项检定就能获得阈值+10奖励（填入表中熟练技能+10一栏中），若达到了25级以上，则可以将阈值奖励提升至+20。特别的，召唤者的所有武器均算作“武器”项，取最高值填入
3.小型深渊龙初始便处于离地1米的飞行状态，不处于飞行状态时行动获得一枚惩罚骰
4.小型深渊龙每回合可以使用至多4点召唤者的行动点
5.小型深渊龙无需切换主副武器，可以自由使用
6.小型深渊龙可以在战斗中主动消耗尸体以使其全属性+6
</t>
    <phoneticPr fontId="1" type="noConversion"/>
  </si>
  <si>
    <t>特殊效果</t>
    <phoneticPr fontId="1" type="noConversion"/>
  </si>
  <si>
    <t>升级记录</t>
    <phoneticPr fontId="1" type="noConversion"/>
  </si>
  <si>
    <t>召唤物防具</t>
    <phoneticPr fontId="1" type="noConversion"/>
  </si>
  <si>
    <t>基础</t>
    <phoneticPr fontId="1" type="noConversion"/>
  </si>
  <si>
    <t>成长</t>
    <phoneticPr fontId="1" type="noConversion"/>
  </si>
  <si>
    <t>临时加成</t>
    <phoneticPr fontId="1" type="noConversion"/>
  </si>
  <si>
    <t>最终值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</si>
</sst>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5"/>
      <color theme="3"/>
      <name val="等线"/>
      <family val="2"/>
      <charset val="134"/>
      <scheme val="minor"/>
    </font>
    <font>
      <sz val="11"/>
      <color theme="1"/>
      <name val="方正准圆_GBK"/>
      <family val="4"/>
      <charset val="134"/>
    </font>
    <font>
      <b/>
      <sz val="15"/>
      <color theme="3"/>
      <name val="方正准圆_GBK"/>
      <family val="4"/>
      <charset val="134"/>
    </font>
    <font>
      <sz val="11"/>
      <color indexed="20"/>
      <name val="等线"/>
      <family val="3"/>
      <charset val="134"/>
    </font>
    <font>
      <sz val="11"/>
      <color indexed="17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0061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3"/>
      <name val="方正准圆_GBK"/>
      <family val="4"/>
      <charset val="134"/>
    </font>
    <font>
      <b/>
      <sz val="12"/>
      <color theme="1"/>
      <name val="方正准圆_GBK"/>
      <family val="4"/>
      <charset val="134"/>
    </font>
    <font>
      <b/>
      <sz val="12"/>
      <color theme="1"/>
      <name val="微软雅黑"/>
      <family val="2"/>
      <charset val="134"/>
    </font>
    <font>
      <b/>
      <sz val="12"/>
      <color theme="0"/>
      <name val="方正准圆_GBK"/>
      <family val="4"/>
      <charset val="134"/>
    </font>
    <font>
      <sz val="11"/>
      <name val="等线"/>
      <family val="3"/>
      <charset val="134"/>
      <scheme val="minor"/>
    </font>
    <font>
      <b/>
      <sz val="14"/>
      <color theme="3"/>
      <name val="方正准圆_GBK"/>
      <family val="4"/>
      <charset val="134"/>
    </font>
    <font>
      <b/>
      <sz val="11"/>
      <name val="等线"/>
      <family val="3"/>
      <charset val="134"/>
      <scheme val="minor"/>
    </font>
    <font>
      <sz val="24"/>
      <color theme="1"/>
      <name val="Microsoft YaHei UI"/>
      <family val="4"/>
      <charset val="134"/>
    </font>
    <font>
      <sz val="11"/>
      <color theme="1"/>
      <name val="宋体"/>
      <family val="4"/>
      <charset val="134"/>
    </font>
    <font>
      <b/>
      <sz val="12"/>
      <color theme="0"/>
      <name val="Microsoft YaHei UI"/>
      <family val="4"/>
      <charset val="134"/>
    </font>
    <font>
      <b/>
      <sz val="12"/>
      <color theme="1"/>
      <name val="Microsoft YaHei UI"/>
      <family val="4"/>
      <charset val="134"/>
    </font>
    <font>
      <sz val="24"/>
      <color theme="1"/>
      <name val="方正准圆_GBK"/>
      <charset val="134"/>
    </font>
    <font>
      <sz val="21"/>
      <color theme="1"/>
      <name val="方正准圆_GBK"/>
      <charset val="134"/>
    </font>
    <font>
      <sz val="11"/>
      <color theme="1"/>
      <name val="Microsoft YaHei UI"/>
      <family val="4"/>
      <charset val="134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gradientFill>
        <stop position="0">
          <color rgb="FFFF0000"/>
        </stop>
        <stop position="1">
          <color theme="0"/>
        </stop>
      </gradientFill>
    </fill>
    <fill>
      <gradientFill>
        <stop position="0">
          <color rgb="FF0070C0"/>
        </stop>
        <stop position="1">
          <color theme="0"/>
        </stop>
      </gradientFill>
    </fill>
    <fill>
      <gradientFill>
        <stop position="0">
          <color rgb="FF00B050"/>
        </stop>
        <stop position="1">
          <color theme="0"/>
        </stop>
      </gradientFill>
    </fill>
    <fill>
      <patternFill patternType="solid">
        <fgColor theme="4" tint="-0.249977111117893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 style="double">
        <color theme="4"/>
      </bottom>
      <diagonal/>
    </border>
    <border>
      <left/>
      <right/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/>
      <diagonal/>
    </border>
    <border>
      <left/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/>
      <top/>
      <bottom/>
      <diagonal/>
    </border>
    <border>
      <left/>
      <right style="double">
        <color theme="4"/>
      </right>
      <top/>
      <bottom/>
      <diagonal/>
    </border>
    <border>
      <left style="double">
        <color theme="4"/>
      </left>
      <right/>
      <top/>
      <bottom style="double">
        <color theme="4"/>
      </bottom>
      <diagonal/>
    </border>
    <border>
      <left/>
      <right style="double">
        <color theme="4"/>
      </right>
      <top/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 style="double">
        <color theme="4"/>
      </right>
      <top/>
      <bottom style="double">
        <color theme="4"/>
      </bottom>
      <diagonal/>
    </border>
    <border>
      <left/>
      <right/>
      <top style="double">
        <color theme="4"/>
      </top>
      <bottom/>
      <diagonal/>
    </border>
    <border>
      <left/>
      <right/>
      <top/>
      <bottom style="double">
        <color theme="4"/>
      </bottom>
      <diagonal/>
    </border>
    <border>
      <left/>
      <right/>
      <top style="thick">
        <color rgb="FF0070C0"/>
      </top>
      <bottom style="thick">
        <color rgb="FF0070C0"/>
      </bottom>
      <diagonal/>
    </border>
    <border>
      <left style="double">
        <color theme="4"/>
      </left>
      <right style="double">
        <color theme="4"/>
      </right>
      <top/>
      <bottom/>
      <diagonal/>
    </border>
    <border>
      <left/>
      <right/>
      <top/>
      <bottom style="thick">
        <color rgb="FF0070C0"/>
      </bottom>
      <diagonal/>
    </border>
  </borders>
  <cellStyleXfs count="8">
    <xf numFmtId="0" fontId="0" fillId="0" borderId="0"/>
    <xf numFmtId="0" fontId="2" fillId="0" borderId="1" applyNumberFormat="0" applyFill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7" fillId="0" borderId="0"/>
    <xf numFmtId="0" fontId="10" fillId="0" borderId="0"/>
  </cellStyleXfs>
  <cellXfs count="76">
    <xf numFmtId="0" fontId="0" fillId="0" borderId="0" xfId="0"/>
    <xf numFmtId="0" fontId="0" fillId="0" borderId="16" xfId="0" applyBorder="1" applyAlignment="1">
      <alignment horizontal="center" vertical="center" wrapText="1"/>
    </xf>
    <xf numFmtId="0" fontId="16" fillId="0" borderId="16" xfId="1" applyFont="1" applyBorder="1" applyAlignment="1">
      <alignment horizontal="center" vertical="center"/>
    </xf>
    <xf numFmtId="0" fontId="11" fillId="0" borderId="16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4" fillId="0" borderId="6" xfId="0" applyFont="1" applyBorder="1" applyAlignment="1">
      <alignment horizontal="left" vertical="top" wrapText="1"/>
    </xf>
    <xf numFmtId="0" fontId="24" fillId="0" borderId="14" xfId="0" applyFont="1" applyBorder="1" applyAlignment="1">
      <alignment horizontal="left" vertical="top" wrapText="1"/>
    </xf>
    <xf numFmtId="0" fontId="24" fillId="0" borderId="7" xfId="0" applyFont="1" applyBorder="1" applyAlignment="1">
      <alignment horizontal="left" vertical="top" wrapText="1"/>
    </xf>
    <xf numFmtId="0" fontId="24" fillId="0" borderId="8" xfId="0" applyFont="1" applyBorder="1" applyAlignment="1">
      <alignment horizontal="left" vertical="top" wrapText="1"/>
    </xf>
    <xf numFmtId="0" fontId="24" fillId="0" borderId="0" xfId="0" applyFont="1" applyBorder="1" applyAlignment="1">
      <alignment horizontal="left" vertical="top" wrapText="1"/>
    </xf>
    <xf numFmtId="0" fontId="24" fillId="0" borderId="9" xfId="0" applyFont="1" applyBorder="1" applyAlignment="1">
      <alignment horizontal="left" vertical="top" wrapText="1"/>
    </xf>
    <xf numFmtId="0" fontId="24" fillId="0" borderId="10" xfId="0" applyFont="1" applyBorder="1" applyAlignment="1">
      <alignment horizontal="left" vertical="top" wrapText="1"/>
    </xf>
    <xf numFmtId="0" fontId="24" fillId="0" borderId="15" xfId="0" applyFont="1" applyBorder="1" applyAlignment="1">
      <alignment horizontal="left" vertical="top" wrapText="1"/>
    </xf>
    <xf numFmtId="0" fontId="24" fillId="0" borderId="11" xfId="0" applyFont="1" applyBorder="1" applyAlignment="1">
      <alignment horizontal="left" vertical="top" wrapTex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9" borderId="12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12" fillId="0" borderId="16" xfId="0" applyFont="1" applyBorder="1" applyAlignment="1">
      <alignment horizontal="center" vertical="center" wrapText="1"/>
    </xf>
    <xf numFmtId="0" fontId="21" fillId="0" borderId="16" xfId="0" applyFont="1" applyBorder="1" applyAlignment="1">
      <alignment horizontal="center" vertical="center" wrapText="1"/>
    </xf>
    <xf numFmtId="0" fontId="19" fillId="0" borderId="17" xfId="0" applyFont="1" applyBorder="1" applyAlignment="1">
      <alignment horizontal="center" vertical="center" wrapText="1"/>
    </xf>
    <xf numFmtId="0" fontId="19" fillId="0" borderId="13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 wrapText="1"/>
    </xf>
    <xf numFmtId="0" fontId="14" fillId="8" borderId="16" xfId="6" applyFont="1" applyFill="1" applyBorder="1" applyAlignment="1">
      <alignment horizontal="left" vertical="center"/>
    </xf>
    <xf numFmtId="0" fontId="13" fillId="8" borderId="16" xfId="6" applyFont="1" applyFill="1" applyBorder="1" applyAlignment="1">
      <alignment horizontal="left" vertical="center"/>
    </xf>
    <xf numFmtId="0" fontId="0" fillId="0" borderId="16" xfId="0" applyBorder="1" applyAlignment="1">
      <alignment horizontal="center"/>
    </xf>
    <xf numFmtId="0" fontId="14" fillId="6" borderId="16" xfId="6" applyFont="1" applyFill="1" applyBorder="1" applyAlignment="1">
      <alignment horizontal="left" vertical="center"/>
    </xf>
    <xf numFmtId="0" fontId="4" fillId="0" borderId="16" xfId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0" fontId="17" fillId="0" borderId="16" xfId="1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23" fillId="0" borderId="7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58" fontId="0" fillId="0" borderId="2" xfId="0" applyNumberForma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9" fontId="0" fillId="0" borderId="3" xfId="0" applyNumberFormat="1" applyBorder="1" applyAlignment="1">
      <alignment horizontal="center" vertical="center"/>
    </xf>
    <xf numFmtId="0" fontId="14" fillId="7" borderId="16" xfId="6" applyFont="1" applyFill="1" applyBorder="1" applyAlignment="1">
      <alignment horizontal="left" vertical="center"/>
    </xf>
    <xf numFmtId="0" fontId="13" fillId="7" borderId="16" xfId="6" applyFont="1" applyFill="1" applyBorder="1" applyAlignment="1">
      <alignment horizontal="left" vertical="center"/>
    </xf>
    <xf numFmtId="0" fontId="13" fillId="7" borderId="18" xfId="6" applyFont="1" applyFill="1" applyBorder="1" applyAlignment="1">
      <alignment horizontal="left" vertical="center"/>
    </xf>
    <xf numFmtId="0" fontId="0" fillId="0" borderId="18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8">
    <cellStyle name="标题 1" xfId="1" builtinId="16"/>
    <cellStyle name="差_技能大表" xfId="2" xr:uid="{EBB1818C-C6E7-446B-A904-50C857D5A175}"/>
    <cellStyle name="差_技能大表_1" xfId="4" xr:uid="{B3D6E702-3416-496B-9185-4C6719D10D9B}"/>
    <cellStyle name="常规" xfId="0" builtinId="0"/>
    <cellStyle name="常规 2" xfId="6" xr:uid="{77B1CA5F-D6FC-4F1B-98DB-0CBE12748365}"/>
    <cellStyle name="常规 3" xfId="7" xr:uid="{5C75CA40-E054-4D00-91B3-786C925C8AB6}"/>
    <cellStyle name="好_技能大表" xfId="3" xr:uid="{E6197626-7867-4B0B-996C-B72A7165CF77}"/>
    <cellStyle name="好_技能大表_1" xfId="5" xr:uid="{7A3A9577-DD15-4C65-A810-4EFE800C86A5}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131F-0C9C-4792-BE4A-F3DC1B0EAC42}">
  <sheetPr codeName="Sheet13"/>
  <dimension ref="A1:T28"/>
  <sheetViews>
    <sheetView tabSelected="1" workbookViewId="0">
      <selection activeCell="W7" sqref="W7"/>
    </sheetView>
  </sheetViews>
  <sheetFormatPr defaultRowHeight="14.25"/>
  <sheetData>
    <row r="1" spans="1:20" ht="20.45" customHeight="1" thickTop="1" thickBot="1">
      <c r="A1" s="11" t="s">
        <v>31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7" t="s">
        <v>48</v>
      </c>
      <c r="O1" s="7"/>
      <c r="P1" s="7"/>
      <c r="Q1" s="7"/>
      <c r="R1" s="7"/>
      <c r="S1" s="7"/>
      <c r="T1" s="8"/>
    </row>
    <row r="2" spans="1:20" ht="20.45" customHeight="1" thickTop="1" thickBot="1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9"/>
      <c r="O2" s="9"/>
      <c r="P2" s="9"/>
      <c r="Q2" s="9"/>
      <c r="R2" s="9"/>
      <c r="S2" s="9"/>
      <c r="T2" s="10"/>
    </row>
    <row r="3" spans="1:20" ht="20.45" customHeight="1" thickTop="1" thickBot="1">
      <c r="A3" s="33" t="s">
        <v>32</v>
      </c>
      <c r="B3" s="12" t="s">
        <v>49</v>
      </c>
      <c r="C3" s="12"/>
      <c r="D3" s="12"/>
      <c r="E3" s="12" t="s">
        <v>50</v>
      </c>
      <c r="F3" s="12"/>
      <c r="G3" s="12"/>
      <c r="H3" s="12" t="s">
        <v>51</v>
      </c>
      <c r="I3" s="12"/>
      <c r="J3" s="12"/>
      <c r="K3" s="13" t="s">
        <v>52</v>
      </c>
      <c r="L3" s="13"/>
      <c r="M3" s="13"/>
      <c r="N3" s="6" t="s">
        <v>7</v>
      </c>
      <c r="O3" s="60" t="s">
        <v>10</v>
      </c>
      <c r="P3" s="59"/>
      <c r="Q3" s="61" t="s">
        <v>44</v>
      </c>
      <c r="R3" s="59"/>
      <c r="S3" s="61" t="s">
        <v>15</v>
      </c>
      <c r="T3" s="59"/>
    </row>
    <row r="4" spans="1:20" ht="20.45" customHeight="1" thickTop="1" thickBot="1">
      <c r="A4" s="33"/>
      <c r="B4" s="12">
        <v>35</v>
      </c>
      <c r="C4" s="12"/>
      <c r="D4" s="12"/>
      <c r="E4" s="12">
        <v>0</v>
      </c>
      <c r="F4" s="12"/>
      <c r="G4" s="12"/>
      <c r="H4" s="12">
        <v>0</v>
      </c>
      <c r="I4" s="12"/>
      <c r="J4" s="12"/>
      <c r="K4" s="12">
        <v>35</v>
      </c>
      <c r="L4" s="12"/>
      <c r="M4" s="12"/>
      <c r="N4" s="6" t="s">
        <v>36</v>
      </c>
      <c r="O4" s="23">
        <v>2</v>
      </c>
      <c r="P4" s="25"/>
      <c r="Q4" s="62">
        <v>0.3</v>
      </c>
      <c r="R4" s="25"/>
      <c r="S4" s="23">
        <v>8</v>
      </c>
      <c r="T4" s="25"/>
    </row>
    <row r="5" spans="1:20" ht="20.45" customHeight="1" thickTop="1" thickBot="1">
      <c r="A5" s="31" t="s">
        <v>37</v>
      </c>
      <c r="B5" s="67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12" t="s">
        <v>46</v>
      </c>
      <c r="O5" s="23"/>
      <c r="P5" s="24"/>
      <c r="Q5" s="24"/>
      <c r="R5" s="24"/>
      <c r="S5" s="24"/>
      <c r="T5" s="25"/>
    </row>
    <row r="6" spans="1:20" ht="20.45" customHeight="1" thickTop="1" thickBot="1">
      <c r="A6" s="32"/>
      <c r="B6" s="70"/>
      <c r="C6" s="71"/>
      <c r="D6" s="71"/>
      <c r="E6" s="71"/>
      <c r="F6" s="71"/>
      <c r="G6" s="71"/>
      <c r="H6" s="71"/>
      <c r="I6" s="71"/>
      <c r="J6" s="71"/>
      <c r="K6" s="71"/>
      <c r="L6" s="71"/>
      <c r="M6" s="72"/>
      <c r="N6" s="12"/>
      <c r="O6" s="23"/>
      <c r="P6" s="24"/>
      <c r="Q6" s="24"/>
      <c r="R6" s="24"/>
      <c r="S6" s="24"/>
      <c r="T6" s="25"/>
    </row>
    <row r="7" spans="1:20" ht="20.45" customHeight="1" thickTop="1" thickBot="1">
      <c r="A7" s="34" t="s">
        <v>38</v>
      </c>
      <c r="B7" s="73"/>
      <c r="C7" s="74"/>
      <c r="D7" s="74"/>
      <c r="E7" s="74"/>
      <c r="F7" s="74"/>
      <c r="G7" s="74"/>
      <c r="H7" s="74"/>
      <c r="I7" s="74"/>
      <c r="J7" s="74"/>
      <c r="K7" s="74"/>
      <c r="L7" s="74"/>
      <c r="M7" s="75"/>
      <c r="N7" s="12" t="s">
        <v>47</v>
      </c>
      <c r="O7" s="23"/>
      <c r="P7" s="24"/>
      <c r="Q7" s="24"/>
      <c r="R7" s="24"/>
      <c r="S7" s="24"/>
      <c r="T7" s="25"/>
    </row>
    <row r="8" spans="1:20" ht="20.45" customHeight="1" thickTop="1" thickBot="1">
      <c r="A8" s="32"/>
      <c r="B8" s="70"/>
      <c r="C8" s="71"/>
      <c r="D8" s="71"/>
      <c r="E8" s="71"/>
      <c r="F8" s="71"/>
      <c r="G8" s="71"/>
      <c r="H8" s="71"/>
      <c r="I8" s="71"/>
      <c r="J8" s="71"/>
      <c r="K8" s="71"/>
      <c r="L8" s="71"/>
      <c r="M8" s="72"/>
      <c r="N8" s="12"/>
      <c r="O8" s="23"/>
      <c r="P8" s="24"/>
      <c r="Q8" s="24"/>
      <c r="R8" s="24"/>
      <c r="S8" s="24"/>
      <c r="T8" s="25"/>
    </row>
    <row r="9" spans="1:20" ht="20.45" customHeight="1" thickTop="1" thickBot="1">
      <c r="A9" s="38" t="s">
        <v>33</v>
      </c>
      <c r="B9" s="38"/>
      <c r="C9" s="38"/>
      <c r="D9" s="38"/>
      <c r="E9" s="38"/>
      <c r="F9" s="37"/>
      <c r="G9" s="37"/>
      <c r="H9" s="37"/>
      <c r="I9" s="37"/>
      <c r="J9" s="26"/>
      <c r="K9" s="63" t="s">
        <v>30</v>
      </c>
      <c r="L9" s="64"/>
      <c r="M9" s="64"/>
      <c r="N9" s="64"/>
      <c r="O9" s="65"/>
      <c r="P9" s="66"/>
      <c r="Q9" s="66"/>
      <c r="R9" s="66"/>
      <c r="S9" s="66"/>
      <c r="T9" s="26"/>
    </row>
    <row r="10" spans="1:20" ht="20.45" customHeight="1" thickTop="1" thickBot="1">
      <c r="A10" s="29" t="s">
        <v>1</v>
      </c>
      <c r="B10" s="29"/>
      <c r="C10" s="29"/>
      <c r="D10" s="29" t="s">
        <v>2</v>
      </c>
      <c r="E10" s="29"/>
      <c r="F10" s="29"/>
      <c r="G10" s="29" t="s">
        <v>3</v>
      </c>
      <c r="H10" s="29"/>
      <c r="I10" s="29"/>
      <c r="J10" s="27"/>
      <c r="K10" s="29" t="s">
        <v>1</v>
      </c>
      <c r="L10" s="29"/>
      <c r="M10" s="29"/>
      <c r="N10" s="29" t="s">
        <v>2</v>
      </c>
      <c r="O10" s="29"/>
      <c r="P10" s="29"/>
      <c r="Q10" s="29" t="s">
        <v>3</v>
      </c>
      <c r="R10" s="29"/>
      <c r="S10" s="29"/>
      <c r="T10" s="27"/>
    </row>
    <row r="11" spans="1:20" ht="20.45" customHeight="1" thickTop="1" thickBot="1">
      <c r="A11" s="1">
        <v>35</v>
      </c>
      <c r="B11" s="1" t="s">
        <v>0</v>
      </c>
      <c r="C11" s="1">
        <f>H4</f>
        <v>0</v>
      </c>
      <c r="D11" s="1">
        <v>0</v>
      </c>
      <c r="E11" s="1" t="s">
        <v>0</v>
      </c>
      <c r="F11" s="1">
        <v>0</v>
      </c>
      <c r="G11" s="1">
        <f>A11+D11</f>
        <v>35</v>
      </c>
      <c r="H11" s="1" t="s">
        <v>0</v>
      </c>
      <c r="I11" s="1">
        <f>C11+F11</f>
        <v>0</v>
      </c>
      <c r="J11" s="28"/>
      <c r="K11" s="1">
        <v>8</v>
      </c>
      <c r="L11" s="1" t="s">
        <v>0</v>
      </c>
      <c r="M11" s="1">
        <f>S4</f>
        <v>8</v>
      </c>
      <c r="N11" s="1">
        <v>0</v>
      </c>
      <c r="O11" s="1" t="s">
        <v>0</v>
      </c>
      <c r="P11" s="1">
        <v>0</v>
      </c>
      <c r="Q11" s="1">
        <f>K11+N11</f>
        <v>8</v>
      </c>
      <c r="R11" s="1" t="s">
        <v>0</v>
      </c>
      <c r="S11" s="1">
        <f>M11+P11</f>
        <v>8</v>
      </c>
      <c r="T11" s="28"/>
    </row>
    <row r="12" spans="1:20" ht="20.45" customHeight="1" thickTop="1" thickBot="1">
      <c r="A12" s="35" t="s">
        <v>34</v>
      </c>
      <c r="B12" s="36"/>
      <c r="C12" s="36"/>
      <c r="D12" s="36"/>
      <c r="E12" s="36"/>
      <c r="F12" s="37"/>
      <c r="G12" s="37"/>
      <c r="H12" s="37"/>
      <c r="I12" s="37"/>
      <c r="J12" s="42" t="s">
        <v>6</v>
      </c>
      <c r="K12" s="43"/>
      <c r="L12" s="5" t="s">
        <v>7</v>
      </c>
      <c r="M12" s="12" t="s">
        <v>39</v>
      </c>
      <c r="N12" s="12"/>
      <c r="O12" s="5" t="s">
        <v>5</v>
      </c>
      <c r="P12" s="12">
        <v>1</v>
      </c>
      <c r="Q12" s="12"/>
      <c r="R12" s="5" t="s">
        <v>4</v>
      </c>
      <c r="S12" s="12">
        <v>8</v>
      </c>
      <c r="T12" s="12"/>
    </row>
    <row r="13" spans="1:20" ht="20.45" customHeight="1" thickTop="1" thickBot="1">
      <c r="A13" s="29" t="s">
        <v>35</v>
      </c>
      <c r="B13" s="29"/>
      <c r="C13" s="29"/>
      <c r="D13" s="30" t="s">
        <v>16</v>
      </c>
      <c r="E13" s="29"/>
      <c r="F13" s="29"/>
      <c r="G13" s="29" t="s">
        <v>3</v>
      </c>
      <c r="H13" s="29"/>
      <c r="I13" s="29"/>
      <c r="J13" s="44"/>
      <c r="K13" s="45"/>
      <c r="L13" s="49" t="s">
        <v>8</v>
      </c>
      <c r="M13" s="51" t="s">
        <v>11</v>
      </c>
      <c r="N13" s="52"/>
      <c r="O13" s="52"/>
      <c r="P13" s="52"/>
      <c r="Q13" s="52"/>
      <c r="R13" s="52"/>
      <c r="S13" s="52"/>
      <c r="T13" s="53"/>
    </row>
    <row r="14" spans="1:20" ht="20.45" customHeight="1" thickTop="1" thickBot="1">
      <c r="A14" s="1">
        <v>6</v>
      </c>
      <c r="B14" s="1" t="s">
        <v>0</v>
      </c>
      <c r="C14" s="1">
        <v>6</v>
      </c>
      <c r="D14" s="1">
        <v>3</v>
      </c>
      <c r="E14" s="1" t="s">
        <v>0</v>
      </c>
      <c r="F14" s="1">
        <f>INT(H4/10)</f>
        <v>0</v>
      </c>
      <c r="G14" s="1">
        <f>A14+D14</f>
        <v>9</v>
      </c>
      <c r="H14" s="1" t="s">
        <v>0</v>
      </c>
      <c r="I14" s="1">
        <f>C14+F14</f>
        <v>6</v>
      </c>
      <c r="J14" s="46"/>
      <c r="K14" s="47"/>
      <c r="L14" s="50"/>
      <c r="M14" s="54"/>
      <c r="N14" s="55"/>
      <c r="O14" s="55"/>
      <c r="P14" s="55"/>
      <c r="Q14" s="55"/>
      <c r="R14" s="55"/>
      <c r="S14" s="55"/>
      <c r="T14" s="56"/>
    </row>
    <row r="15" spans="1:20" ht="20.45" customHeight="1" thickTop="1" thickBot="1">
      <c r="J15" s="42" t="s">
        <v>9</v>
      </c>
      <c r="K15" s="43"/>
      <c r="L15" s="5" t="s">
        <v>7</v>
      </c>
      <c r="M15" s="12" t="s">
        <v>40</v>
      </c>
      <c r="N15" s="12"/>
      <c r="O15" s="5" t="s">
        <v>5</v>
      </c>
      <c r="P15" s="48" t="s">
        <v>41</v>
      </c>
      <c r="Q15" s="12"/>
      <c r="R15" s="5" t="s">
        <v>4</v>
      </c>
      <c r="S15" s="12">
        <v>6</v>
      </c>
      <c r="T15" s="12"/>
    </row>
    <row r="16" spans="1:20" ht="20.45" customHeight="1" thickTop="1" thickBot="1">
      <c r="A16" s="39" t="s">
        <v>19</v>
      </c>
      <c r="B16" s="39"/>
      <c r="C16" s="39"/>
      <c r="D16" s="39" t="s">
        <v>20</v>
      </c>
      <c r="E16" s="39"/>
      <c r="F16" s="39"/>
      <c r="G16" s="39" t="s">
        <v>21</v>
      </c>
      <c r="H16" s="39"/>
      <c r="I16" s="39"/>
      <c r="J16" s="44"/>
      <c r="K16" s="45"/>
      <c r="L16" s="49" t="s">
        <v>8</v>
      </c>
      <c r="M16" s="51" t="s">
        <v>11</v>
      </c>
      <c r="N16" s="52"/>
      <c r="O16" s="52"/>
      <c r="P16" s="52"/>
      <c r="Q16" s="52"/>
      <c r="R16" s="52"/>
      <c r="S16" s="52"/>
      <c r="T16" s="53"/>
    </row>
    <row r="17" spans="1:20" ht="20.45" customHeight="1" thickTop="1" thickBot="1">
      <c r="A17" s="4" t="s">
        <v>17</v>
      </c>
      <c r="B17" s="40" t="s">
        <v>42</v>
      </c>
      <c r="C17" s="40"/>
      <c r="D17" s="4" t="s">
        <v>17</v>
      </c>
      <c r="E17" s="40" t="s">
        <v>13</v>
      </c>
      <c r="F17" s="40"/>
      <c r="G17" s="4" t="s">
        <v>17</v>
      </c>
      <c r="H17" s="40" t="s">
        <v>14</v>
      </c>
      <c r="I17" s="40"/>
      <c r="J17" s="46"/>
      <c r="K17" s="47"/>
      <c r="L17" s="50"/>
      <c r="M17" s="54"/>
      <c r="N17" s="55"/>
      <c r="O17" s="55"/>
      <c r="P17" s="55"/>
      <c r="Q17" s="55"/>
      <c r="R17" s="55"/>
      <c r="S17" s="55"/>
      <c r="T17" s="56"/>
    </row>
    <row r="18" spans="1:20" ht="20.45" customHeight="1" thickTop="1" thickBot="1">
      <c r="A18" s="2" t="s">
        <v>12</v>
      </c>
      <c r="B18" s="41">
        <f>K4+(COUNTIF(B5:M6,"武器")*10)+(COUNTIF(B7:M8,"武器")*10)</f>
        <v>35</v>
      </c>
      <c r="C18" s="41"/>
      <c r="D18" s="2" t="s">
        <v>12</v>
      </c>
      <c r="E18" s="41">
        <f>K4+(COUNTIF(B5:M6,"防御")*10)+(COUNTIF(B7:M8,"防御")*10)</f>
        <v>35</v>
      </c>
      <c r="F18" s="41"/>
      <c r="G18" s="2" t="s">
        <v>12</v>
      </c>
      <c r="H18" s="41">
        <f>K4+(COUNTIF(B5:M6,"闪避")*10)+(COUNTIF(B7:M8,"闪避")*10)</f>
        <v>35</v>
      </c>
      <c r="I18" s="41"/>
      <c r="J18" s="57" t="s">
        <v>43</v>
      </c>
      <c r="K18" s="58"/>
      <c r="L18" s="58"/>
      <c r="M18" s="58"/>
      <c r="N18" s="58"/>
      <c r="O18" s="58"/>
      <c r="P18" s="58"/>
      <c r="Q18" s="58"/>
      <c r="R18" s="58"/>
      <c r="S18" s="58"/>
      <c r="T18" s="59"/>
    </row>
    <row r="19" spans="1:20" ht="20.45" customHeight="1" thickTop="1" thickBot="1">
      <c r="A19" s="3" t="s">
        <v>18</v>
      </c>
      <c r="B19" s="40"/>
      <c r="C19" s="40"/>
      <c r="D19" s="3" t="s">
        <v>18</v>
      </c>
      <c r="E19" s="40"/>
      <c r="F19" s="40"/>
      <c r="G19" s="3" t="s">
        <v>18</v>
      </c>
      <c r="H19" s="40"/>
      <c r="I19" s="40"/>
      <c r="J19" s="14" t="s">
        <v>45</v>
      </c>
      <c r="K19" s="15"/>
      <c r="L19" s="15"/>
      <c r="M19" s="15"/>
      <c r="N19" s="15"/>
      <c r="O19" s="15"/>
      <c r="P19" s="15"/>
      <c r="Q19" s="15"/>
      <c r="R19" s="15"/>
      <c r="S19" s="15"/>
      <c r="T19" s="16"/>
    </row>
    <row r="20" spans="1:20" ht="20.45" customHeight="1" thickTop="1" thickBot="1">
      <c r="A20" s="4" t="s">
        <v>22</v>
      </c>
      <c r="B20" s="41">
        <v>5</v>
      </c>
      <c r="C20" s="41"/>
      <c r="D20" s="4" t="s">
        <v>22</v>
      </c>
      <c r="E20" s="41">
        <v>5</v>
      </c>
      <c r="F20" s="41"/>
      <c r="G20" s="4" t="s">
        <v>22</v>
      </c>
      <c r="H20" s="41">
        <v>5</v>
      </c>
      <c r="I20" s="41"/>
      <c r="J20" s="17"/>
      <c r="K20" s="18"/>
      <c r="L20" s="18"/>
      <c r="M20" s="18"/>
      <c r="N20" s="18"/>
      <c r="O20" s="18"/>
      <c r="P20" s="18"/>
      <c r="Q20" s="18"/>
      <c r="R20" s="18"/>
      <c r="S20" s="18"/>
      <c r="T20" s="19"/>
    </row>
    <row r="21" spans="1:20" ht="15.75" customHeight="1" thickTop="1" thickBot="1">
      <c r="A21" s="3" t="s">
        <v>18</v>
      </c>
      <c r="B21" s="40"/>
      <c r="C21" s="40"/>
      <c r="D21" s="3" t="s">
        <v>18</v>
      </c>
      <c r="E21" s="40"/>
      <c r="F21" s="40"/>
      <c r="G21" s="3" t="s">
        <v>18</v>
      </c>
      <c r="H21" s="40"/>
      <c r="I21" s="40"/>
      <c r="J21" s="17"/>
      <c r="K21" s="18"/>
      <c r="L21" s="18"/>
      <c r="M21" s="18"/>
      <c r="N21" s="18"/>
      <c r="O21" s="18"/>
      <c r="P21" s="18"/>
      <c r="Q21" s="18"/>
      <c r="R21" s="18"/>
      <c r="S21" s="18"/>
      <c r="T21" s="19"/>
    </row>
    <row r="22" spans="1:20" ht="15.75" customHeight="1" thickTop="1" thickBot="1">
      <c r="A22" s="3" t="s">
        <v>23</v>
      </c>
      <c r="B22" s="41">
        <f>IF(B19=0,B18,B19)</f>
        <v>35</v>
      </c>
      <c r="C22" s="41"/>
      <c r="D22" s="3" t="s">
        <v>23</v>
      </c>
      <c r="E22" s="41">
        <f>IF(E19=0,E18,E19)</f>
        <v>35</v>
      </c>
      <c r="F22" s="41"/>
      <c r="G22" s="3" t="s">
        <v>23</v>
      </c>
      <c r="H22" s="41">
        <f>IF(H19=0,H18,H19)</f>
        <v>35</v>
      </c>
      <c r="I22" s="41"/>
      <c r="J22" s="17"/>
      <c r="K22" s="18"/>
      <c r="L22" s="18"/>
      <c r="M22" s="18"/>
      <c r="N22" s="18"/>
      <c r="O22" s="18"/>
      <c r="P22" s="18"/>
      <c r="Q22" s="18"/>
      <c r="R22" s="18"/>
      <c r="S22" s="18"/>
      <c r="T22" s="19"/>
    </row>
    <row r="23" spans="1:20" ht="15.75" customHeight="1" thickTop="1" thickBot="1">
      <c r="A23" s="3" t="s">
        <v>25</v>
      </c>
      <c r="B23" s="41">
        <f>IF(B$19=0,B18-B$20,B22-B$20)</f>
        <v>30</v>
      </c>
      <c r="C23" s="41"/>
      <c r="D23" s="3" t="s">
        <v>24</v>
      </c>
      <c r="E23" s="41">
        <f>IF(E$19=0,E22-E$20,E$19-E$20)</f>
        <v>30</v>
      </c>
      <c r="F23" s="41"/>
      <c r="G23" s="3" t="s">
        <v>24</v>
      </c>
      <c r="H23" s="41">
        <f>IF(H$19=0,H22-H$20,H$19-H$20)</f>
        <v>30</v>
      </c>
      <c r="I23" s="41"/>
      <c r="J23" s="17"/>
      <c r="K23" s="18"/>
      <c r="L23" s="18"/>
      <c r="M23" s="18"/>
      <c r="N23" s="18"/>
      <c r="O23" s="18"/>
      <c r="P23" s="18"/>
      <c r="Q23" s="18"/>
      <c r="R23" s="18"/>
      <c r="S23" s="18"/>
      <c r="T23" s="19"/>
    </row>
    <row r="24" spans="1:20" ht="15.75" customHeight="1" thickTop="1" thickBot="1">
      <c r="A24" s="3" t="s">
        <v>26</v>
      </c>
      <c r="B24" s="41">
        <f>IF(B$19=0,B23-B$20,B$19-B$20)</f>
        <v>25</v>
      </c>
      <c r="C24" s="41"/>
      <c r="D24" s="3" t="s">
        <v>26</v>
      </c>
      <c r="E24" s="41">
        <f t="shared" ref="E24:E27" si="0">IF(E$19=0,E23-E$20,E$19-E$20)</f>
        <v>25</v>
      </c>
      <c r="F24" s="41"/>
      <c r="G24" s="3" t="s">
        <v>26</v>
      </c>
      <c r="H24" s="41">
        <f t="shared" ref="H24:H27" si="1">IF(H$19=0,H23-H$20,H$19-H$20)</f>
        <v>25</v>
      </c>
      <c r="I24" s="41"/>
      <c r="J24" s="17"/>
      <c r="K24" s="18"/>
      <c r="L24" s="18"/>
      <c r="M24" s="18"/>
      <c r="N24" s="18"/>
      <c r="O24" s="18"/>
      <c r="P24" s="18"/>
      <c r="Q24" s="18"/>
      <c r="R24" s="18"/>
      <c r="S24" s="18"/>
      <c r="T24" s="19"/>
    </row>
    <row r="25" spans="1:20" ht="15.75" customHeight="1" thickTop="1" thickBot="1">
      <c r="A25" s="3" t="s">
        <v>27</v>
      </c>
      <c r="B25" s="41">
        <f t="shared" ref="B25:B27" si="2">IF(B$19=0,B24-B$20,B$19-B$20)</f>
        <v>20</v>
      </c>
      <c r="C25" s="41"/>
      <c r="D25" s="3" t="s">
        <v>27</v>
      </c>
      <c r="E25" s="41">
        <f t="shared" si="0"/>
        <v>20</v>
      </c>
      <c r="F25" s="41"/>
      <c r="G25" s="3" t="s">
        <v>27</v>
      </c>
      <c r="H25" s="41">
        <f t="shared" si="1"/>
        <v>20</v>
      </c>
      <c r="I25" s="41"/>
      <c r="J25" s="17"/>
      <c r="K25" s="18"/>
      <c r="L25" s="18"/>
      <c r="M25" s="18"/>
      <c r="N25" s="18"/>
      <c r="O25" s="18"/>
      <c r="P25" s="18"/>
      <c r="Q25" s="18"/>
      <c r="R25" s="18"/>
      <c r="S25" s="18"/>
      <c r="T25" s="19"/>
    </row>
    <row r="26" spans="1:20" ht="15.75" customHeight="1" thickTop="1" thickBot="1">
      <c r="A26" s="3" t="s">
        <v>28</v>
      </c>
      <c r="B26" s="41">
        <f t="shared" si="2"/>
        <v>15</v>
      </c>
      <c r="C26" s="41"/>
      <c r="D26" s="3" t="s">
        <v>28</v>
      </c>
      <c r="E26" s="41">
        <f t="shared" si="0"/>
        <v>15</v>
      </c>
      <c r="F26" s="41"/>
      <c r="G26" s="3" t="s">
        <v>28</v>
      </c>
      <c r="H26" s="41">
        <f t="shared" si="1"/>
        <v>15</v>
      </c>
      <c r="I26" s="41"/>
      <c r="J26" s="17"/>
      <c r="K26" s="18"/>
      <c r="L26" s="18"/>
      <c r="M26" s="18"/>
      <c r="N26" s="18"/>
      <c r="O26" s="18"/>
      <c r="P26" s="18"/>
      <c r="Q26" s="18"/>
      <c r="R26" s="18"/>
      <c r="S26" s="18"/>
      <c r="T26" s="19"/>
    </row>
    <row r="27" spans="1:20" ht="15.75" customHeight="1" thickTop="1" thickBot="1">
      <c r="A27" s="3" t="s">
        <v>29</v>
      </c>
      <c r="B27" s="41">
        <f t="shared" si="2"/>
        <v>10</v>
      </c>
      <c r="C27" s="41"/>
      <c r="D27" s="3" t="s">
        <v>29</v>
      </c>
      <c r="E27" s="41">
        <f t="shared" si="0"/>
        <v>10</v>
      </c>
      <c r="F27" s="41"/>
      <c r="G27" s="3" t="s">
        <v>29</v>
      </c>
      <c r="H27" s="41">
        <f t="shared" si="1"/>
        <v>10</v>
      </c>
      <c r="I27" s="41"/>
      <c r="J27" s="20"/>
      <c r="K27" s="21"/>
      <c r="L27" s="21"/>
      <c r="M27" s="21"/>
      <c r="N27" s="21"/>
      <c r="O27" s="21"/>
      <c r="P27" s="21"/>
      <c r="Q27" s="21"/>
      <c r="R27" s="21"/>
      <c r="S27" s="21"/>
      <c r="T27" s="22"/>
    </row>
    <row r="28" spans="1:20" ht="15.75" customHeight="1" thickTop="1"/>
  </sheetData>
  <protectedRanges>
    <protectedRange sqref="Q8 R4:T4 M4:O4" name="防具区域"/>
    <protectedRange sqref="B3:B4 H3:H4 E3:E4" name="武器区域_1"/>
    <protectedRange sqref="A16 D16 F16 A22:A27 D22:D27 G22:G27" name="HP与SP区域"/>
    <protectedRange sqref="P12 S12 P15 S15" name="武器区域_1_2"/>
    <protectedRange sqref="M12 M15" name="武器区域_1_3"/>
  </protectedRanges>
  <dataConsolidate/>
  <mergeCells count="90">
    <mergeCell ref="J12:K14"/>
    <mergeCell ref="J18:T18"/>
    <mergeCell ref="O3:P3"/>
    <mergeCell ref="Q3:R3"/>
    <mergeCell ref="S3:T3"/>
    <mergeCell ref="O4:P4"/>
    <mergeCell ref="Q4:R4"/>
    <mergeCell ref="S4:T4"/>
    <mergeCell ref="K9:O9"/>
    <mergeCell ref="P9:S9"/>
    <mergeCell ref="K10:M10"/>
    <mergeCell ref="N10:P10"/>
    <mergeCell ref="Q10:S10"/>
    <mergeCell ref="N5:N6"/>
    <mergeCell ref="N7:N8"/>
    <mergeCell ref="B26:C26"/>
    <mergeCell ref="E26:F26"/>
    <mergeCell ref="H26:I26"/>
    <mergeCell ref="B27:C27"/>
    <mergeCell ref="E27:F27"/>
    <mergeCell ref="H27:I27"/>
    <mergeCell ref="B24:C24"/>
    <mergeCell ref="E24:F24"/>
    <mergeCell ref="H24:I24"/>
    <mergeCell ref="B25:C25"/>
    <mergeCell ref="E25:F25"/>
    <mergeCell ref="H25:I25"/>
    <mergeCell ref="B22:C22"/>
    <mergeCell ref="E22:F22"/>
    <mergeCell ref="H22:I22"/>
    <mergeCell ref="B23:C23"/>
    <mergeCell ref="E23:F23"/>
    <mergeCell ref="H23:I23"/>
    <mergeCell ref="B20:C20"/>
    <mergeCell ref="E20:F20"/>
    <mergeCell ref="H20:I20"/>
    <mergeCell ref="B21:C21"/>
    <mergeCell ref="E21:F21"/>
    <mergeCell ref="H21:I21"/>
    <mergeCell ref="B18:C18"/>
    <mergeCell ref="E18:F18"/>
    <mergeCell ref="H18:I18"/>
    <mergeCell ref="B19:C19"/>
    <mergeCell ref="E19:F19"/>
    <mergeCell ref="H19:I19"/>
    <mergeCell ref="A16:C16"/>
    <mergeCell ref="D16:F16"/>
    <mergeCell ref="G16:I16"/>
    <mergeCell ref="B17:C17"/>
    <mergeCell ref="E17:F17"/>
    <mergeCell ref="H17:I17"/>
    <mergeCell ref="A13:C13"/>
    <mergeCell ref="D13:F13"/>
    <mergeCell ref="G13:I13"/>
    <mergeCell ref="A5:A6"/>
    <mergeCell ref="A3:A4"/>
    <mergeCell ref="A10:C10"/>
    <mergeCell ref="D10:F10"/>
    <mergeCell ref="G10:I10"/>
    <mergeCell ref="A7:A8"/>
    <mergeCell ref="A12:E12"/>
    <mergeCell ref="F12:I12"/>
    <mergeCell ref="A9:E9"/>
    <mergeCell ref="F9:I9"/>
    <mergeCell ref="J19:T27"/>
    <mergeCell ref="O5:T6"/>
    <mergeCell ref="O7:T8"/>
    <mergeCell ref="T9:T11"/>
    <mergeCell ref="J9:J11"/>
    <mergeCell ref="J15:K17"/>
    <mergeCell ref="M15:N15"/>
    <mergeCell ref="P15:Q15"/>
    <mergeCell ref="S15:T15"/>
    <mergeCell ref="L16:L17"/>
    <mergeCell ref="M16:T17"/>
    <mergeCell ref="M12:N12"/>
    <mergeCell ref="P12:Q12"/>
    <mergeCell ref="S12:T12"/>
    <mergeCell ref="M13:T14"/>
    <mergeCell ref="L13:L14"/>
    <mergeCell ref="N1:T2"/>
    <mergeCell ref="A1:M2"/>
    <mergeCell ref="B3:D3"/>
    <mergeCell ref="B4:D4"/>
    <mergeCell ref="E3:G3"/>
    <mergeCell ref="E4:G4"/>
    <mergeCell ref="H3:J3"/>
    <mergeCell ref="H4:J4"/>
    <mergeCell ref="K3:M3"/>
    <mergeCell ref="K4:M4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坐骑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JIANG</dc:creator>
  <cp:lastModifiedBy>Administrator</cp:lastModifiedBy>
  <dcterms:created xsi:type="dcterms:W3CDTF">2015-06-05T18:19:34Z</dcterms:created>
  <dcterms:modified xsi:type="dcterms:W3CDTF">2024-01-01T08:14:59Z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25415400-2363-4432-a0f9-d956003a3e14</vt:lpwstr>
  </property>
</Properties>
</file>